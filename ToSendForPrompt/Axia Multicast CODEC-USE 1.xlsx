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deorbit427-my.sharepoint.com/personal/asalive_wideorbit_com/Documents/Documents/My Docs/"/>
    </mc:Choice>
  </mc:AlternateContent>
  <xr:revisionPtr revIDLastSave="1039" documentId="8_{1B2B1BE5-CD8E-4C0B-AA3F-16D39DBA4B2D}" xr6:coauthVersionLast="47" xr6:coauthVersionMax="47" xr10:uidLastSave="{72E4DFFD-080D-4783-B324-794C89057DCA}"/>
  <bookViews>
    <workbookView xWindow="-15" yWindow="-16320" windowWidth="29040" windowHeight="15720" tabRatio="785" activeTab="2" xr2:uid="{17455EFA-E3D1-4117-A28B-B4DA133EA2ED}"/>
  </bookViews>
  <sheets>
    <sheet name="Find MultiCast Channel" sheetId="2" r:id="rId1"/>
    <sheet name="Find LW Channel" sheetId="1" r:id="rId2"/>
    <sheet name="WO IP Message" sheetId="6" r:id="rId3"/>
    <sheet name="Linux Channl Config" sheetId="5" r:id="rId4"/>
    <sheet name="Engine VMIX Source List" sheetId="4" r:id="rId5"/>
    <sheet name="LW Calc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3" l="1"/>
  <c r="Y5" i="3"/>
  <c r="Y6" i="3"/>
  <c r="Y7" i="3"/>
  <c r="Y8" i="3"/>
  <c r="Y9" i="3"/>
  <c r="Y10" i="3"/>
  <c r="W10" i="3" s="1"/>
  <c r="D10" i="6" s="1"/>
  <c r="Y11" i="3"/>
  <c r="Y12" i="3"/>
  <c r="Y13" i="3"/>
  <c r="Y14" i="3"/>
  <c r="Y15" i="3"/>
  <c r="Y16" i="3"/>
  <c r="Y17" i="3"/>
  <c r="Y18" i="3"/>
  <c r="Y19" i="3"/>
  <c r="X19" i="3" s="1"/>
  <c r="Y20" i="3"/>
  <c r="Y21" i="3"/>
  <c r="Y22" i="3"/>
  <c r="Y23" i="3"/>
  <c r="Y24" i="3"/>
  <c r="Y25" i="3"/>
  <c r="Y26" i="3"/>
  <c r="Y27" i="3"/>
  <c r="Y3" i="3"/>
  <c r="X17" i="3"/>
  <c r="X18" i="3"/>
  <c r="W11" i="3"/>
  <c r="W27" i="3"/>
  <c r="X6" i="3"/>
  <c r="X7" i="3"/>
  <c r="X8" i="3"/>
  <c r="X10" i="3"/>
  <c r="X11" i="3"/>
  <c r="X13" i="3"/>
  <c r="W14" i="3"/>
  <c r="W15" i="3"/>
  <c r="W16" i="3"/>
  <c r="W17" i="3"/>
  <c r="W18" i="3"/>
  <c r="X20" i="3"/>
  <c r="X21" i="3"/>
  <c r="X22" i="3"/>
  <c r="X23" i="3"/>
  <c r="X24" i="3"/>
  <c r="X25" i="3"/>
  <c r="X26" i="3"/>
  <c r="X27" i="3"/>
  <c r="M4" i="3"/>
  <c r="N4" i="3" s="1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3" i="3"/>
  <c r="N3" i="3" s="1"/>
  <c r="A4" i="3"/>
  <c r="C4" i="3" s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V3" i="3"/>
  <c r="U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L3" i="3"/>
  <c r="K3" i="3"/>
  <c r="G4" i="3"/>
  <c r="B4" i="2" s="1"/>
  <c r="G5" i="3"/>
  <c r="B5" i="2" s="1"/>
  <c r="G6" i="3"/>
  <c r="B6" i="2" s="1"/>
  <c r="G7" i="3"/>
  <c r="B7" i="2" s="1"/>
  <c r="G8" i="3"/>
  <c r="B8" i="2" s="1"/>
  <c r="G9" i="3"/>
  <c r="B9" i="2" s="1"/>
  <c r="G10" i="3"/>
  <c r="B10" i="2" s="1"/>
  <c r="G11" i="3"/>
  <c r="B11" i="2" s="1"/>
  <c r="G12" i="3"/>
  <c r="B12" i="2" s="1"/>
  <c r="G13" i="3"/>
  <c r="B13" i="2" s="1"/>
  <c r="G14" i="3"/>
  <c r="B14" i="2" s="1"/>
  <c r="G15" i="3"/>
  <c r="B15" i="2" s="1"/>
  <c r="G16" i="3"/>
  <c r="B16" i="2" s="1"/>
  <c r="G17" i="3"/>
  <c r="B17" i="2" s="1"/>
  <c r="G18" i="3"/>
  <c r="B18" i="2" s="1"/>
  <c r="G19" i="3"/>
  <c r="B19" i="2" s="1"/>
  <c r="G20" i="3"/>
  <c r="B20" i="2" s="1"/>
  <c r="G21" i="3"/>
  <c r="B21" i="2" s="1"/>
  <c r="G22" i="3"/>
  <c r="B22" i="2" s="1"/>
  <c r="G23" i="3"/>
  <c r="B23" i="2" s="1"/>
  <c r="G24" i="3"/>
  <c r="B24" i="2" s="1"/>
  <c r="G25" i="3"/>
  <c r="B25" i="2" s="1"/>
  <c r="G26" i="3"/>
  <c r="B26" i="2" s="1"/>
  <c r="G27" i="3"/>
  <c r="B27" i="2" s="1"/>
  <c r="G3" i="3"/>
  <c r="B3" i="2" s="1"/>
  <c r="C9" i="3"/>
  <c r="C10" i="3"/>
  <c r="C18" i="3"/>
  <c r="C19" i="3"/>
  <c r="C20" i="3"/>
  <c r="C21" i="3"/>
  <c r="C22" i="3"/>
  <c r="C23" i="3"/>
  <c r="C24" i="3"/>
  <c r="C25" i="3"/>
  <c r="C26" i="3"/>
  <c r="B17" i="3"/>
  <c r="B18" i="3"/>
  <c r="D18" i="3" s="1"/>
  <c r="B18" i="1" s="1"/>
  <c r="B19" i="3"/>
  <c r="D19" i="3" s="1"/>
  <c r="B19" i="1" s="1"/>
  <c r="B20" i="3"/>
  <c r="D20" i="3" s="1"/>
  <c r="B20" i="1" s="1"/>
  <c r="B21" i="3"/>
  <c r="D21" i="3" s="1"/>
  <c r="B21" i="1" s="1"/>
  <c r="B22" i="3"/>
  <c r="D22" i="3" s="1"/>
  <c r="B22" i="1" s="1"/>
  <c r="B23" i="3"/>
  <c r="D23" i="3" s="1"/>
  <c r="B23" i="1" s="1"/>
  <c r="A5" i="3"/>
  <c r="B5" i="3" s="1"/>
  <c r="A6" i="3"/>
  <c r="B6" i="3" s="1"/>
  <c r="A7" i="3"/>
  <c r="C7" i="3" s="1"/>
  <c r="A8" i="3"/>
  <c r="C8" i="3" s="1"/>
  <c r="A9" i="3"/>
  <c r="B9" i="3" s="1"/>
  <c r="D9" i="3" s="1"/>
  <c r="B9" i="1" s="1"/>
  <c r="A10" i="3"/>
  <c r="B10" i="3" s="1"/>
  <c r="D10" i="3" s="1"/>
  <c r="B10" i="1" s="1"/>
  <c r="A11" i="3"/>
  <c r="C11" i="3" s="1"/>
  <c r="A12" i="3"/>
  <c r="C12" i="3" s="1"/>
  <c r="A13" i="3"/>
  <c r="C13" i="3" s="1"/>
  <c r="A14" i="3"/>
  <c r="C14" i="3" s="1"/>
  <c r="A15" i="3"/>
  <c r="C15" i="3" s="1"/>
  <c r="A16" i="3"/>
  <c r="B16" i="3" s="1"/>
  <c r="A17" i="3"/>
  <c r="C17" i="3" s="1"/>
  <c r="A18" i="3"/>
  <c r="A19" i="3"/>
  <c r="A20" i="3"/>
  <c r="A21" i="3"/>
  <c r="A22" i="3"/>
  <c r="A23" i="3"/>
  <c r="A24" i="3"/>
  <c r="B24" i="3" s="1"/>
  <c r="D24" i="3" s="1"/>
  <c r="B24" i="1" s="1"/>
  <c r="A25" i="3"/>
  <c r="B25" i="3" s="1"/>
  <c r="D25" i="3" s="1"/>
  <c r="B25" i="1" s="1"/>
  <c r="A26" i="3"/>
  <c r="B26" i="3" s="1"/>
  <c r="D26" i="3" s="1"/>
  <c r="B26" i="1" s="1"/>
  <c r="A27" i="3"/>
  <c r="C27" i="3" s="1"/>
  <c r="A3" i="3"/>
  <c r="C3" i="3" s="1"/>
  <c r="X5" i="3" l="1"/>
  <c r="E5" i="6" s="1"/>
  <c r="X9" i="3"/>
  <c r="E9" i="6" s="1"/>
  <c r="W4" i="3"/>
  <c r="D4" i="6" s="1"/>
  <c r="W3" i="3"/>
  <c r="D3" i="6" s="1"/>
  <c r="W26" i="3"/>
  <c r="W9" i="3"/>
  <c r="D9" i="6" s="1"/>
  <c r="X16" i="3"/>
  <c r="W25" i="3"/>
  <c r="D25" i="6" s="1"/>
  <c r="W8" i="3"/>
  <c r="D8" i="6" s="1"/>
  <c r="X15" i="3"/>
  <c r="W24" i="3"/>
  <c r="W7" i="3"/>
  <c r="X14" i="3"/>
  <c r="E14" i="6" s="1"/>
  <c r="W23" i="3"/>
  <c r="W6" i="3"/>
  <c r="W22" i="3"/>
  <c r="W5" i="3"/>
  <c r="D5" i="6" s="1"/>
  <c r="D13" i="6"/>
  <c r="W21" i="3"/>
  <c r="D21" i="6" s="1"/>
  <c r="W20" i="3"/>
  <c r="D27" i="6"/>
  <c r="W19" i="3"/>
  <c r="D19" i="6" s="1"/>
  <c r="E25" i="6"/>
  <c r="E17" i="6"/>
  <c r="X4" i="3"/>
  <c r="E4" i="6" s="1"/>
  <c r="E27" i="6"/>
  <c r="E26" i="6"/>
  <c r="W13" i="3"/>
  <c r="X3" i="3"/>
  <c r="E3" i="6" s="1"/>
  <c r="W12" i="3"/>
  <c r="D12" i="6" s="1"/>
  <c r="X12" i="3"/>
  <c r="E12" i="6" s="1"/>
  <c r="E24" i="6"/>
  <c r="E23" i="6"/>
  <c r="D14" i="6"/>
  <c r="D20" i="6"/>
  <c r="D17" i="6"/>
  <c r="E13" i="6"/>
  <c r="E10" i="6"/>
  <c r="E20" i="6"/>
  <c r="D22" i="6"/>
  <c r="E22" i="6"/>
  <c r="E21" i="6"/>
  <c r="E19" i="6"/>
  <c r="D18" i="6"/>
  <c r="D16" i="6"/>
  <c r="E15" i="6"/>
  <c r="E11" i="6"/>
  <c r="E8" i="6"/>
  <c r="D17" i="3"/>
  <c r="B17" i="1" s="1"/>
  <c r="D15" i="6"/>
  <c r="E18" i="6"/>
  <c r="B14" i="3"/>
  <c r="D14" i="3" s="1"/>
  <c r="B14" i="1" s="1"/>
  <c r="D26" i="6"/>
  <c r="B13" i="3"/>
  <c r="D13" i="3" s="1"/>
  <c r="B13" i="1" s="1"/>
  <c r="C16" i="3"/>
  <c r="D16" i="3" s="1"/>
  <c r="B16" i="1" s="1"/>
  <c r="D24" i="6"/>
  <c r="D11" i="6"/>
  <c r="B15" i="3"/>
  <c r="D15" i="3" s="1"/>
  <c r="B15" i="1" s="1"/>
  <c r="D23" i="6"/>
  <c r="B27" i="3"/>
  <c r="D27" i="3" s="1"/>
  <c r="B27" i="1" s="1"/>
  <c r="B11" i="3"/>
  <c r="D11" i="3" s="1"/>
  <c r="B11" i="1" s="1"/>
  <c r="E16" i="6"/>
  <c r="B12" i="3"/>
  <c r="D12" i="3" s="1"/>
  <c r="B12" i="1" s="1"/>
  <c r="O27" i="3"/>
  <c r="D7" i="6"/>
  <c r="E6" i="6"/>
  <c r="E7" i="6"/>
  <c r="D6" i="6"/>
  <c r="O25" i="3"/>
  <c r="D25" i="5" s="1"/>
  <c r="O15" i="3"/>
  <c r="D15" i="5" s="1"/>
  <c r="O10" i="3"/>
  <c r="D10" i="5" s="1"/>
  <c r="O12" i="3"/>
  <c r="D12" i="5" s="1"/>
  <c r="O20" i="3"/>
  <c r="D20" i="5" s="1"/>
  <c r="O3" i="3"/>
  <c r="D3" i="5" s="1"/>
  <c r="O9" i="3"/>
  <c r="D9" i="5" s="1"/>
  <c r="O26" i="3"/>
  <c r="D26" i="5" s="1"/>
  <c r="O16" i="3"/>
  <c r="D16" i="5" s="1"/>
  <c r="O14" i="3"/>
  <c r="D14" i="5" s="1"/>
  <c r="O13" i="3"/>
  <c r="D13" i="5" s="1"/>
  <c r="O11" i="3"/>
  <c r="D11" i="5" s="1"/>
  <c r="O8" i="3"/>
  <c r="D8" i="5" s="1"/>
  <c r="O4" i="3"/>
  <c r="D4" i="5" s="1"/>
  <c r="O18" i="3"/>
  <c r="D18" i="5" s="1"/>
  <c r="O17" i="3"/>
  <c r="D17" i="5" s="1"/>
  <c r="O24" i="3"/>
  <c r="D24" i="5" s="1"/>
  <c r="O23" i="3"/>
  <c r="D23" i="5" s="1"/>
  <c r="O7" i="3"/>
  <c r="D7" i="5" s="1"/>
  <c r="O22" i="3"/>
  <c r="D22" i="5" s="1"/>
  <c r="O6" i="3"/>
  <c r="D6" i="5" s="1"/>
  <c r="O21" i="3"/>
  <c r="D21" i="5" s="1"/>
  <c r="O5" i="3"/>
  <c r="D5" i="5" s="1"/>
  <c r="O19" i="3"/>
  <c r="D19" i="5" s="1"/>
  <c r="B8" i="3"/>
  <c r="D8" i="3" s="1"/>
  <c r="B8" i="1" s="1"/>
  <c r="B7" i="3"/>
  <c r="D7" i="3" s="1"/>
  <c r="B7" i="1" s="1"/>
  <c r="C6" i="3"/>
  <c r="D6" i="3" s="1"/>
  <c r="B6" i="1" s="1"/>
  <c r="C5" i="3"/>
  <c r="D5" i="3" s="1"/>
  <c r="B5" i="1" s="1"/>
  <c r="B4" i="3"/>
  <c r="D4" i="3" s="1"/>
  <c r="B4" i="1" s="1"/>
  <c r="B3" i="3"/>
  <c r="D3" i="3" s="1"/>
  <c r="B3" i="1" s="1"/>
</calcChain>
</file>

<file path=xl/sharedStrings.xml><?xml version="1.0" encoding="utf-8"?>
<sst xmlns="http://schemas.openxmlformats.org/spreadsheetml/2006/main" count="109" uniqueCount="107">
  <si>
    <t>Enter the Multicast IP Address</t>
  </si>
  <si>
    <t>Associated LW Channel Num</t>
  </si>
  <si>
    <t>Enter LW CH#</t>
  </si>
  <si>
    <t>Associated Multicast Address</t>
  </si>
  <si>
    <t>DST 351 NAME:"VMIX 16 in 5" </t>
  </si>
  <si>
    <t>DST 350 NAME:"VMIX 16 in 4"</t>
  </si>
  <si>
    <t>DST 349 NAME:"VMIX 16 in 3"</t>
  </si>
  <si>
    <t>DST 348 NAME:"VMIX 16 in 2"</t>
  </si>
  <si>
    <t>DST 347 NAME:"VMIX 16 in 1"</t>
  </si>
  <si>
    <t>DST 346 NAME:"VMIX 15 in 5"</t>
  </si>
  <si>
    <t>DST 345 NAME:"VMIX 15 in 4"</t>
  </si>
  <si>
    <t>DST 344 NAME:"VMIX 15 in 3"</t>
  </si>
  <si>
    <t>DST 343 NAME:"VMIX 15 in 2"</t>
  </si>
  <si>
    <t>DST 342 NAME:"VMIX 15 in 1"</t>
  </si>
  <si>
    <t>DST 341 NAME:"VMIX 14 in 5"</t>
  </si>
  <si>
    <t>DST 340 NAME:"VMIX 14 in 4"</t>
  </si>
  <si>
    <t>DST 339 NAME:"VMIX 14 in 3"</t>
  </si>
  <si>
    <t>DST 338 NAME:"VMIX 14 in 2"</t>
  </si>
  <si>
    <t>DST 337 NAME:"VMIX 14 in 1"</t>
  </si>
  <si>
    <t>DST 336 NAME:"VMIX 13 in 5"</t>
  </si>
  <si>
    <t>DST 335 NAME:"VMIX 13 in 4"</t>
  </si>
  <si>
    <t>DST 334 NAME:"VMIX 13 in 3"</t>
  </si>
  <si>
    <t>DST 333 NAME:"VMIX 13 in 2"</t>
  </si>
  <si>
    <t>DST 332 NAME:"VMIX 13 in 1"</t>
  </si>
  <si>
    <t>DST 331 NAME:"VMIX 12 in 5"</t>
  </si>
  <si>
    <t>DST 330 NAME:"VMIX 12 in 4"</t>
  </si>
  <si>
    <t>DST 329 NAME:"VMIX 12 in 3"</t>
  </si>
  <si>
    <t>DST 328 NAME:"VMIX 12 in 2"</t>
  </si>
  <si>
    <t>DST 327 NAME:"VMIX 12 in 1"</t>
  </si>
  <si>
    <t>DST 326 NAME:"VMIX 11 in 5"</t>
  </si>
  <si>
    <t>DST 325 NAME:"VMIX 11 in 4"</t>
  </si>
  <si>
    <t>DST 324 NAME:"VMIX 11 in 3"</t>
  </si>
  <si>
    <t>DST 323 NAME:"VMIX 11 in 2"</t>
  </si>
  <si>
    <t>DST 322 NAME:"VMIX 11 in 1"</t>
  </si>
  <si>
    <t>DST 321 NAME:"VMIX 10 in 5"</t>
  </si>
  <si>
    <t>DST 320 NAME:"VMIX 10 in 4"</t>
  </si>
  <si>
    <t>DST 319 NAME:"VMIX 10 in 3"</t>
  </si>
  <si>
    <t>DST 318 NAME:"VMIX 10 in 2"</t>
  </si>
  <si>
    <t>DST 317 NAME:"VMIX 10 in 1"</t>
  </si>
  <si>
    <t>DST 316 NAME:"VMIX 9 in 5"</t>
  </si>
  <si>
    <t>DST 315 NAME:"VMIX 9 in 4"</t>
  </si>
  <si>
    <t>DST 314 NAME:"VMIX 9 in 3"</t>
  </si>
  <si>
    <t>DST 313 NAME:"VMIX 9 in 2"</t>
  </si>
  <si>
    <t>DST 312 NAME:"VMIX 9 in 1"</t>
  </si>
  <si>
    <t>DST 103 NAME:"VMIX 8 in 5"</t>
  </si>
  <si>
    <t>DST 102 NAME:"VMIX 8 in 4"</t>
  </si>
  <si>
    <t>DST 101 NAME:"VMIX 8 in 3"</t>
  </si>
  <si>
    <t>DST 100 NAME:"VMIX 8 in 2"</t>
  </si>
  <si>
    <t>DST 99 NAME:"VMIX 8 in 1"</t>
  </si>
  <si>
    <t>DST 98 NAME:"VMIX 7 in 5"</t>
  </si>
  <si>
    <t>DST 97 NAME:"VMIX 7 in 4"</t>
  </si>
  <si>
    <t>DST 96 NAME:"VMIX 7 in 3"</t>
  </si>
  <si>
    <t>DST 95 NAME:"VMIX 7 in 2"</t>
  </si>
  <si>
    <t>DST 94 NAME:"VMIX 7 in 1"</t>
  </si>
  <si>
    <t>DST 93 NAME:"VMIX 6 in 5"</t>
  </si>
  <si>
    <t>DST 92 NAME:"VMIX 6 in 4"</t>
  </si>
  <si>
    <t>DST 91 NAME:"VMIX 6 in 3"</t>
  </si>
  <si>
    <t>DST 90 NAME:"VMIX 6 in 2"</t>
  </si>
  <si>
    <t>DST 89 NAME:"VMIX 6 in 1"</t>
  </si>
  <si>
    <t>DST 88 NAME:"VMIX 5 in 5"</t>
  </si>
  <si>
    <t>DST 87 NAME:"VMIX 5 in 4"</t>
  </si>
  <si>
    <t>DST 86 NAME:"VMIX 5 in 3"</t>
  </si>
  <si>
    <t>DST 85 NAME:"VMIX 5 in 2"</t>
  </si>
  <si>
    <t>DST 84 NAME:"VMIX 5 in 1"</t>
  </si>
  <si>
    <t>DST 83 NAME:"VMIX 4 in 5"</t>
  </si>
  <si>
    <t>DST 82 NAME:"VMIX 4 in 4"</t>
  </si>
  <si>
    <t>DST 81 NAME:"VMIX 4 in 3"</t>
  </si>
  <si>
    <t>DST 80 NAME:"VMIX 4 in 2"</t>
  </si>
  <si>
    <t>DST 79 NAME:"VMIX 4 in 1"</t>
  </si>
  <si>
    <t>DST 78 NAME:"VMIX 3 in 5"</t>
  </si>
  <si>
    <t>DST 77 NAME:"VMIX 3 in 4"</t>
  </si>
  <si>
    <t>DST 76 NAME:"VMIX 3 in 3"</t>
  </si>
  <si>
    <t>DST 75 NAME:"VMIX 3 in 2"</t>
  </si>
  <si>
    <t>DST 74 NAME:"VMIX 3 in 1"</t>
  </si>
  <si>
    <t>DST 73 NAME:"VMIX 2 in 5"</t>
  </si>
  <si>
    <t>DST 72 NAME:"VMIX 2 in 4"</t>
  </si>
  <si>
    <t>DST 71 NAME:"VMIX 2 in 3"</t>
  </si>
  <si>
    <t>DST 70 NAME:"VMIX 2 in 2"</t>
  </si>
  <si>
    <t>DST 69 NAME:"VMIX 2 in 1"</t>
  </si>
  <si>
    <t>DST 68 NAME:"VMIX 1 in 5"</t>
  </si>
  <si>
    <t>DST 67 NAME:"VMIX 1 in 4"</t>
  </si>
  <si>
    <t>DST 66 NAME:"VMIX 1 in 3"</t>
  </si>
  <si>
    <t>DST 65 NAME:"VMIX 1 in 2"</t>
  </si>
  <si>
    <t>DST 64 NAME:"VMIX 1 in 1"</t>
  </si>
  <si>
    <t>Axia Engine VMIX  DST List</t>
  </si>
  <si>
    <t>calculatations for LW Channel</t>
  </si>
  <si>
    <t>Calculates for Multicast  Address</t>
  </si>
  <si>
    <t>LW Channel Num</t>
  </si>
  <si>
    <t>Linux SRC Configuration</t>
  </si>
  <si>
    <t>Enter Desire Source Name</t>
  </si>
  <si>
    <t>Source Number</t>
  </si>
  <si>
    <t>Configuration Line Result</t>
  </si>
  <si>
    <t>SRC#</t>
  </si>
  <si>
    <t>SRC Name</t>
  </si>
  <si>
    <t>LW CH</t>
  </si>
  <si>
    <t>Destination Number</t>
  </si>
  <si>
    <t>LW Source Number</t>
  </si>
  <si>
    <t>IP String</t>
  </si>
  <si>
    <t>WO IP Message \x0a</t>
  </si>
  <si>
    <t>WO IP MSG Configuration 0a cmd</t>
  </si>
  <si>
    <t>WO IP MSG Configuration 0D cmd</t>
  </si>
  <si>
    <t>IP Sting</t>
  </si>
  <si>
    <t>LW CH Numb</t>
  </si>
  <si>
    <t>Axia Password</t>
  </si>
  <si>
    <t>AXIA Password</t>
  </si>
  <si>
    <t>Functional Description</t>
  </si>
  <si>
    <t>WO IP Message \x0D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</si>
</sst>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FFFFFF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1"/>
    <xf numFmtId="0" fontId="5" fillId="0" borderId="0" xfId="1" applyFont="1" applyAlignment="1">
      <alignment vertical="center"/>
    </xf>
    <xf numFmtId="0" fontId="6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Protection="1">
      <protection locked="0"/>
    </xf>
  </cellXfs>
  <cellStyles count="2">
    <cellStyle name="Normal" xfId="0" builtinId="0"/>
    <cellStyle name="Normal 2" xfId="1" xr:uid="{C38671A3-46CD-4E2F-9D3D-B0159FAF9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BA62-B3F7-4481-8F34-35C874152983}">
  <dimension ref="A2:B27"/>
  <sheetViews>
    <sheetView workbookViewId="0">
      <selection activeCell="A5" sqref="A5"/>
    </sheetView>
  </sheetViews>
  <sheetFormatPr defaultRowHeight="14.4" x14ac:dyDescent="0.3"/>
  <cols>
    <col min="1" max="1" width="26.5546875" customWidth="1"/>
    <col min="2" max="2" width="27.109375" customWidth="1"/>
    <col min="3" max="3" width="1.5546875" customWidth="1"/>
  </cols>
  <sheetData>
    <row r="2" spans="1:2" x14ac:dyDescent="0.3">
      <c r="A2" s="2" t="s">
        <v>2</v>
      </c>
      <c r="B2" s="3" t="s">
        <v>3</v>
      </c>
    </row>
    <row r="3" spans="1:2" x14ac:dyDescent="0.3">
      <c r="A3" s="5"/>
      <c r="B3" s="4" t="str">
        <f>'LW Calc'!G3</f>
        <v>239.192.0.0</v>
      </c>
    </row>
    <row r="4" spans="1:2" x14ac:dyDescent="0.3">
      <c r="A4" s="5"/>
      <c r="B4" s="4" t="str">
        <f>'LW Calc'!G4</f>
        <v>239.192.0.0</v>
      </c>
    </row>
    <row r="5" spans="1:2" x14ac:dyDescent="0.3">
      <c r="A5" s="5"/>
      <c r="B5" s="4" t="str">
        <f>'LW Calc'!G5</f>
        <v>239.192.0.0</v>
      </c>
    </row>
    <row r="6" spans="1:2" x14ac:dyDescent="0.3">
      <c r="A6" s="5"/>
      <c r="B6" s="4" t="str">
        <f>'LW Calc'!G6</f>
        <v>239.192.0.0</v>
      </c>
    </row>
    <row r="7" spans="1:2" x14ac:dyDescent="0.3">
      <c r="A7" s="5"/>
      <c r="B7" s="4" t="str">
        <f>'LW Calc'!G7</f>
        <v>239.192.0.0</v>
      </c>
    </row>
    <row r="8" spans="1:2" x14ac:dyDescent="0.3">
      <c r="A8" s="6"/>
      <c r="B8" s="4" t="str">
        <f>'LW Calc'!G8</f>
        <v>239.192.0.0</v>
      </c>
    </row>
    <row r="9" spans="1:2" x14ac:dyDescent="0.3">
      <c r="A9" s="6"/>
      <c r="B9" s="4" t="str">
        <f>'LW Calc'!G9</f>
        <v>239.192.0.0</v>
      </c>
    </row>
    <row r="10" spans="1:2" x14ac:dyDescent="0.3">
      <c r="A10" s="6"/>
      <c r="B10" s="4" t="str">
        <f>'LW Calc'!G10</f>
        <v>239.192.0.0</v>
      </c>
    </row>
    <row r="11" spans="1:2" x14ac:dyDescent="0.3">
      <c r="A11" s="6"/>
      <c r="B11" s="4" t="str">
        <f>'LW Calc'!G11</f>
        <v>239.192.0.0</v>
      </c>
    </row>
    <row r="12" spans="1:2" x14ac:dyDescent="0.3">
      <c r="A12" s="6"/>
      <c r="B12" s="4" t="str">
        <f>'LW Calc'!G12</f>
        <v>239.192.0.0</v>
      </c>
    </row>
    <row r="13" spans="1:2" x14ac:dyDescent="0.3">
      <c r="A13" s="6"/>
      <c r="B13" s="4" t="str">
        <f>'LW Calc'!G13</f>
        <v>239.192.0.0</v>
      </c>
    </row>
    <row r="14" spans="1:2" x14ac:dyDescent="0.3">
      <c r="A14" s="6"/>
      <c r="B14" s="4" t="str">
        <f>'LW Calc'!G14</f>
        <v>239.192.0.0</v>
      </c>
    </row>
    <row r="15" spans="1:2" x14ac:dyDescent="0.3">
      <c r="A15" s="6"/>
      <c r="B15" s="4" t="str">
        <f>'LW Calc'!G15</f>
        <v>239.192.0.0</v>
      </c>
    </row>
    <row r="16" spans="1:2" x14ac:dyDescent="0.3">
      <c r="A16" s="6"/>
      <c r="B16" s="4" t="str">
        <f>'LW Calc'!G16</f>
        <v>239.192.0.0</v>
      </c>
    </row>
    <row r="17" spans="1:2" x14ac:dyDescent="0.3">
      <c r="A17" s="6"/>
      <c r="B17" s="4" t="str">
        <f>'LW Calc'!G17</f>
        <v>239.192.0.0</v>
      </c>
    </row>
    <row r="18" spans="1:2" x14ac:dyDescent="0.3">
      <c r="A18" s="6"/>
      <c r="B18" s="4" t="str">
        <f>'LW Calc'!G18</f>
        <v>239.192.0.0</v>
      </c>
    </row>
    <row r="19" spans="1:2" x14ac:dyDescent="0.3">
      <c r="A19" s="6"/>
      <c r="B19" s="4" t="str">
        <f>'LW Calc'!G19</f>
        <v>239.192.0.0</v>
      </c>
    </row>
    <row r="20" spans="1:2" x14ac:dyDescent="0.3">
      <c r="A20" s="6"/>
      <c r="B20" s="4" t="str">
        <f>'LW Calc'!G20</f>
        <v>239.192.0.0</v>
      </c>
    </row>
    <row r="21" spans="1:2" x14ac:dyDescent="0.3">
      <c r="A21" s="6"/>
      <c r="B21" s="4" t="str">
        <f>'LW Calc'!G21</f>
        <v>239.192.0.0</v>
      </c>
    </row>
    <row r="22" spans="1:2" x14ac:dyDescent="0.3">
      <c r="A22" s="6"/>
      <c r="B22" s="4" t="str">
        <f>'LW Calc'!G22</f>
        <v>239.192.0.0</v>
      </c>
    </row>
    <row r="23" spans="1:2" x14ac:dyDescent="0.3">
      <c r="A23" s="6"/>
      <c r="B23" s="4" t="str">
        <f>'LW Calc'!G23</f>
        <v>239.192.0.0</v>
      </c>
    </row>
    <row r="24" spans="1:2" x14ac:dyDescent="0.3">
      <c r="A24" s="6"/>
      <c r="B24" s="4" t="str">
        <f>'LW Calc'!G24</f>
        <v>239.192.0.0</v>
      </c>
    </row>
    <row r="25" spans="1:2" x14ac:dyDescent="0.3">
      <c r="A25" s="6"/>
      <c r="B25" s="4" t="str">
        <f>'LW Calc'!G25</f>
        <v>239.192.0.0</v>
      </c>
    </row>
    <row r="26" spans="1:2" x14ac:dyDescent="0.3">
      <c r="A26" s="6"/>
      <c r="B26" s="4" t="str">
        <f>'LW Calc'!G26</f>
        <v>239.192.0.0</v>
      </c>
    </row>
    <row r="27" spans="1:2" x14ac:dyDescent="0.3">
      <c r="A27" s="6"/>
      <c r="B27" s="4" t="str">
        <f>'LW Calc'!G27</f>
        <v>239.192.0.0</v>
      </c>
    </row>
  </sheetData>
  <sheetProtection algorithmName="SHA-512" hashValue="LgNDZdIXIBsB+7ix88+dU9S0rx3+eOs81qNY0P+xREKapnHp/eCmNqmMFqLzAqleQ2qy7K9c8JfgwFPhnlXNJg==" saltValue="UZI2kyVdjVc2dqOhyoJoV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ECF4-6129-4385-9788-27FAF89E7DFC}">
  <dimension ref="A1:D27"/>
  <sheetViews>
    <sheetView workbookViewId="0">
      <selection activeCell="A5" sqref="A5"/>
    </sheetView>
  </sheetViews>
  <sheetFormatPr defaultColWidth="14.44140625" defaultRowHeight="15.75" customHeight="1" x14ac:dyDescent="0.3"/>
  <cols>
    <col min="1" max="1" width="31.44140625" customWidth="1"/>
    <col min="2" max="2" width="29.77734375" customWidth="1"/>
    <col min="3" max="3" width="2.6640625" customWidth="1"/>
  </cols>
  <sheetData>
    <row r="1" spans="1:4" ht="14.4" x14ac:dyDescent="0.3">
      <c r="A1" s="1"/>
    </row>
    <row r="2" spans="1:4" ht="14.4" x14ac:dyDescent="0.3">
      <c r="A2" s="2" t="s">
        <v>0</v>
      </c>
      <c r="B2" s="3" t="s">
        <v>1</v>
      </c>
      <c r="D2" s="1"/>
    </row>
    <row r="3" spans="1:4" ht="14.4" x14ac:dyDescent="0.3">
      <c r="A3" s="7"/>
      <c r="B3" s="4" t="e">
        <f>'LW Calc'!D3</f>
        <v>#VALUE!</v>
      </c>
      <c r="D3" s="1"/>
    </row>
    <row r="4" spans="1:4" ht="14.4" x14ac:dyDescent="0.3">
      <c r="A4" s="7"/>
      <c r="B4" s="4" t="e">
        <f>'LW Calc'!D4</f>
        <v>#VALUE!</v>
      </c>
    </row>
    <row r="5" spans="1:4" ht="14.4" x14ac:dyDescent="0.3">
      <c r="A5" s="5"/>
      <c r="B5" s="4" t="e">
        <f>'LW Calc'!D5</f>
        <v>#VALUE!</v>
      </c>
    </row>
    <row r="6" spans="1:4" ht="14.4" x14ac:dyDescent="0.3">
      <c r="A6" s="5"/>
      <c r="B6" s="4" t="e">
        <f>'LW Calc'!D6</f>
        <v>#VALUE!</v>
      </c>
    </row>
    <row r="7" spans="1:4" ht="14.4" x14ac:dyDescent="0.3">
      <c r="A7" s="5"/>
      <c r="B7" s="4" t="e">
        <f>'LW Calc'!D7</f>
        <v>#VALUE!</v>
      </c>
    </row>
    <row r="8" spans="1:4" ht="14.4" x14ac:dyDescent="0.3">
      <c r="A8" s="5"/>
      <c r="B8" s="4" t="e">
        <f>'LW Calc'!D8</f>
        <v>#VALUE!</v>
      </c>
    </row>
    <row r="9" spans="1:4" ht="14.4" x14ac:dyDescent="0.3">
      <c r="A9" s="6"/>
      <c r="B9" s="4" t="e">
        <f>'LW Calc'!D9</f>
        <v>#VALUE!</v>
      </c>
    </row>
    <row r="10" spans="1:4" ht="14.4" x14ac:dyDescent="0.3">
      <c r="A10" s="6"/>
      <c r="B10" s="4" t="e">
        <f>'LW Calc'!D10</f>
        <v>#VALUE!</v>
      </c>
    </row>
    <row r="11" spans="1:4" ht="14.4" x14ac:dyDescent="0.3">
      <c r="A11" s="5"/>
      <c r="B11" s="4" t="e">
        <f>'LW Calc'!D11</f>
        <v>#VALUE!</v>
      </c>
    </row>
    <row r="12" spans="1:4" ht="15.75" customHeight="1" x14ac:dyDescent="0.3">
      <c r="A12" s="6"/>
      <c r="B12" s="4" t="e">
        <f>'LW Calc'!D12</f>
        <v>#VALUE!</v>
      </c>
    </row>
    <row r="13" spans="1:4" ht="15.75" customHeight="1" x14ac:dyDescent="0.3">
      <c r="A13" s="6"/>
      <c r="B13" s="4" t="e">
        <f>'LW Calc'!D13</f>
        <v>#VALUE!</v>
      </c>
    </row>
    <row r="14" spans="1:4" ht="15.75" customHeight="1" x14ac:dyDescent="0.3">
      <c r="A14" s="6"/>
      <c r="B14" s="4" t="e">
        <f>'LW Calc'!D14</f>
        <v>#VALUE!</v>
      </c>
    </row>
    <row r="15" spans="1:4" ht="15.75" customHeight="1" x14ac:dyDescent="0.3">
      <c r="A15" s="6"/>
      <c r="B15" s="4" t="e">
        <f>'LW Calc'!D15</f>
        <v>#VALUE!</v>
      </c>
    </row>
    <row r="16" spans="1:4" ht="15.75" customHeight="1" x14ac:dyDescent="0.3">
      <c r="A16" s="6"/>
      <c r="B16" s="4" t="e">
        <f>'LW Calc'!D16</f>
        <v>#VALUE!</v>
      </c>
    </row>
    <row r="17" spans="1:2" ht="15.75" customHeight="1" x14ac:dyDescent="0.3">
      <c r="A17" s="6"/>
      <c r="B17" s="4" t="e">
        <f>'LW Calc'!D17</f>
        <v>#VALUE!</v>
      </c>
    </row>
    <row r="18" spans="1:2" ht="15.75" customHeight="1" x14ac:dyDescent="0.3">
      <c r="A18" s="6"/>
      <c r="B18" s="4" t="e">
        <f>'LW Calc'!D18</f>
        <v>#VALUE!</v>
      </c>
    </row>
    <row r="19" spans="1:2" ht="15.75" customHeight="1" x14ac:dyDescent="0.3">
      <c r="A19" s="6"/>
      <c r="B19" s="4" t="e">
        <f>'LW Calc'!D19</f>
        <v>#VALUE!</v>
      </c>
    </row>
    <row r="20" spans="1:2" ht="15.75" customHeight="1" x14ac:dyDescent="0.3">
      <c r="A20" s="6"/>
      <c r="B20" s="4" t="e">
        <f>'LW Calc'!D20</f>
        <v>#VALUE!</v>
      </c>
    </row>
    <row r="21" spans="1:2" ht="15.75" customHeight="1" x14ac:dyDescent="0.3">
      <c r="A21" s="6"/>
      <c r="B21" s="4" t="e">
        <f>'LW Calc'!D21</f>
        <v>#VALUE!</v>
      </c>
    </row>
    <row r="22" spans="1:2" ht="15.75" customHeight="1" x14ac:dyDescent="0.3">
      <c r="A22" s="6"/>
      <c r="B22" s="4" t="e">
        <f>'LW Calc'!D22</f>
        <v>#VALUE!</v>
      </c>
    </row>
    <row r="23" spans="1:2" ht="15.75" customHeight="1" x14ac:dyDescent="0.3">
      <c r="A23" s="6"/>
      <c r="B23" s="4" t="e">
        <f>'LW Calc'!D23</f>
        <v>#VALUE!</v>
      </c>
    </row>
    <row r="24" spans="1:2" ht="15.75" customHeight="1" x14ac:dyDescent="0.3">
      <c r="A24" s="6"/>
      <c r="B24" s="4" t="e">
        <f>'LW Calc'!D24</f>
        <v>#VALUE!</v>
      </c>
    </row>
    <row r="25" spans="1:2" ht="15.75" customHeight="1" x14ac:dyDescent="0.3">
      <c r="A25" s="6"/>
      <c r="B25" s="4" t="e">
        <f>'LW Calc'!D25</f>
        <v>#VALUE!</v>
      </c>
    </row>
    <row r="26" spans="1:2" ht="15.75" customHeight="1" x14ac:dyDescent="0.3">
      <c r="A26" s="6"/>
      <c r="B26" s="4" t="e">
        <f>'LW Calc'!D26</f>
        <v>#VALUE!</v>
      </c>
    </row>
    <row r="27" spans="1:2" ht="15.75" customHeight="1" x14ac:dyDescent="0.3">
      <c r="A27" s="6"/>
      <c r="B27" s="4" t="e">
        <f>'LW Calc'!D27</f>
        <v>#VALUE!</v>
      </c>
    </row>
  </sheetData>
  <sheetProtection algorithmName="SHA-512" hashValue="BjQl0XgABSYAZB8eXH9cfO6iaOg6cAOzMqrf5oFEP6oqZS5zBfCI/jcNf+3zxW91L9bfba/+ZUiWOxZbD9B1Og==" saltValue="v73MhWu/aAVi4D6SCKQJs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9146-9CF6-4FFC-8A54-349A8E94CBEC}">
  <dimension ref="A2:F27"/>
  <sheetViews>
    <sheetView tabSelected="1" topLeftCell="B1" workbookViewId="0">
      <selection activeCell="F5" sqref="F5"/>
    </sheetView>
  </sheetViews>
  <sheetFormatPr defaultRowHeight="14.4" x14ac:dyDescent="0.3"/>
  <cols>
    <col min="1" max="3" width="26.77734375" customWidth="1"/>
    <col min="4" max="4" width="52.109375" customWidth="1"/>
    <col min="5" max="5" width="53.44140625" customWidth="1"/>
    <col min="6" max="6" width="68.77734375" customWidth="1"/>
  </cols>
  <sheetData>
    <row r="2" spans="1:6" x14ac:dyDescent="0.3">
      <c r="A2" s="10" t="s">
        <v>95</v>
      </c>
      <c r="B2" s="10" t="s">
        <v>96</v>
      </c>
      <c r="C2" s="10" t="s">
        <v>104</v>
      </c>
      <c r="D2" s="2" t="s">
        <v>98</v>
      </c>
      <c r="E2" s="2" t="s">
        <v>106</v>
      </c>
      <c r="F2" s="10" t="s">
        <v>105</v>
      </c>
    </row>
    <row r="3" spans="1:6" x14ac:dyDescent="0.3">
      <c r="A3" s="6"/>
      <c r="B3" s="6"/>
      <c r="C3" s="6"/>
      <c r="D3" s="11" t="str">
        <f>'LW Calc'!W3</f>
        <v>LOGIN \x0aDST 0 ADDR:"239.192.0.0"\x0a</v>
      </c>
      <c r="E3" s="11" t="str">
        <f>'LW Calc'!X3</f>
        <v>LOGIN \x0DDST 0 ADDR:"239.192.0.0"\x0D</v>
      </c>
      <c r="F3" s="12"/>
    </row>
    <row r="4" spans="1:6" x14ac:dyDescent="0.3">
      <c r="A4" s="6"/>
      <c r="B4" s="6"/>
      <c r="C4" s="6"/>
      <c r="D4" s="11" t="str">
        <f>'LW Calc'!W4</f>
        <v>LOGIN \x0aDST 0 ADDR:"239.192.0.0"\x0a</v>
      </c>
      <c r="E4" s="11" t="str">
        <f>'LW Calc'!X4</f>
        <v>LOGIN \x0DDST 0 ADDR:"239.192.0.0"\x0D</v>
      </c>
      <c r="F4" s="12"/>
    </row>
    <row r="5" spans="1:6" x14ac:dyDescent="0.3">
      <c r="A5" s="6"/>
      <c r="B5" s="6"/>
      <c r="C5" s="6"/>
      <c r="D5" s="11" t="str">
        <f>'LW Calc'!W5</f>
        <v>LOGIN \x0aDST 0 ADDR:"239.192.0.0"\x0a</v>
      </c>
      <c r="E5" s="11" t="str">
        <f>'LW Calc'!X5</f>
        <v>LOGIN \x0DDST 0 ADDR:"239.192.0.0"\x0D</v>
      </c>
      <c r="F5" s="12"/>
    </row>
    <row r="6" spans="1:6" x14ac:dyDescent="0.3">
      <c r="A6" s="6"/>
      <c r="B6" s="6"/>
      <c r="C6" s="6"/>
      <c r="D6" s="11" t="str">
        <f>'LW Calc'!W6</f>
        <v>LOGIN \x0aDST 0 ADDR:"239.192.0.0"\x0a</v>
      </c>
      <c r="E6" s="11" t="str">
        <f>'LW Calc'!X6</f>
        <v>LOGIN \x0DDST 0 ADDR:"239.192.0.0"\x0D</v>
      </c>
      <c r="F6" s="12"/>
    </row>
    <row r="7" spans="1:6" x14ac:dyDescent="0.3">
      <c r="A7" s="6"/>
      <c r="B7" s="6"/>
      <c r="C7" s="6"/>
      <c r="D7" s="11" t="str">
        <f>'LW Calc'!W7</f>
        <v>LOGIN \x0aDST 0 ADDR:"239.192.0.0"\x0a</v>
      </c>
      <c r="E7" s="11" t="str">
        <f>'LW Calc'!X7</f>
        <v>LOGIN \x0DDST 0 ADDR:"239.192.0.0"\x0D</v>
      </c>
      <c r="F7" s="12"/>
    </row>
    <row r="8" spans="1:6" x14ac:dyDescent="0.3">
      <c r="A8" s="6"/>
      <c r="B8" s="6"/>
      <c r="C8" s="6"/>
      <c r="D8" s="11" t="str">
        <f>'LW Calc'!W8</f>
        <v>LOGIN \x0aDST 0 ADDR:"239.192.0.0"\x0a</v>
      </c>
      <c r="E8" s="11" t="str">
        <f>'LW Calc'!X8</f>
        <v>LOGIN \x0DDST 0 ADDR:"239.192.0.0"\x0D</v>
      </c>
      <c r="F8" s="12"/>
    </row>
    <row r="9" spans="1:6" x14ac:dyDescent="0.3">
      <c r="A9" s="6"/>
      <c r="B9" s="6"/>
      <c r="C9" s="6"/>
      <c r="D9" s="11" t="str">
        <f>'LW Calc'!W9</f>
        <v>LOGIN \x0aDST 0 ADDR:"239.192.0.0"\x0a</v>
      </c>
      <c r="E9" s="11" t="str">
        <f>'LW Calc'!X9</f>
        <v>LOGIN \x0DDST 0 ADDR:"239.192.0.0"\x0D</v>
      </c>
      <c r="F9" s="12"/>
    </row>
    <row r="10" spans="1:6" x14ac:dyDescent="0.3">
      <c r="A10" s="6"/>
      <c r="B10" s="6"/>
      <c r="C10" s="6"/>
      <c r="D10" s="11" t="str">
        <f>'LW Calc'!W10</f>
        <v>LOGIN \x0aDST 0 ADDR:"239.192.0.0"\x0a</v>
      </c>
      <c r="E10" s="11" t="str">
        <f>'LW Calc'!X10</f>
        <v>LOGIN \x0DDST 0 ADDR:"239.192.0.0"\x0D</v>
      </c>
      <c r="F10" s="12"/>
    </row>
    <row r="11" spans="1:6" x14ac:dyDescent="0.3">
      <c r="A11" s="6"/>
      <c r="B11" s="6"/>
      <c r="C11" s="6"/>
      <c r="D11" s="11" t="str">
        <f>'LW Calc'!W11</f>
        <v>LOGIN \x0aDST 0 ADDR:"239.192.0.0"\x0a</v>
      </c>
      <c r="E11" s="11" t="str">
        <f>'LW Calc'!X11</f>
        <v>LOGIN \x0DDST 0 ADDR:"239.192.0.0"\x0D</v>
      </c>
      <c r="F11" s="12"/>
    </row>
    <row r="12" spans="1:6" x14ac:dyDescent="0.3">
      <c r="A12" s="6"/>
      <c r="B12" s="6"/>
      <c r="C12" s="6"/>
      <c r="D12" s="11" t="str">
        <f>'LW Calc'!W12</f>
        <v>LOGIN \x0aDST 0 ADDR:"239.192.0.0"\x0a</v>
      </c>
      <c r="E12" s="11" t="str">
        <f>'LW Calc'!X12</f>
        <v>LOGIN \x0DDST 0 ADDR:"239.192.0.0"\x0D</v>
      </c>
      <c r="F12" s="12"/>
    </row>
    <row r="13" spans="1:6" x14ac:dyDescent="0.3">
      <c r="A13" s="6"/>
      <c r="B13" s="6"/>
      <c r="C13" s="6"/>
      <c r="D13" s="11" t="str">
        <f>'LW Calc'!W13</f>
        <v>LOGIN \x0aDST 0 ADDR:"239.192.0.0"\x0a</v>
      </c>
      <c r="E13" s="11" t="str">
        <f>'LW Calc'!X13</f>
        <v>LOGIN \x0DDST 0 ADDR:"239.192.0.0"\x0D</v>
      </c>
      <c r="F13" s="12"/>
    </row>
    <row r="14" spans="1:6" x14ac:dyDescent="0.3">
      <c r="A14" s="6"/>
      <c r="B14" s="6"/>
      <c r="C14" s="6"/>
      <c r="D14" s="11" t="str">
        <f>'LW Calc'!W14</f>
        <v>LOGIN \x0aDST 0 ADDR:"239.192.0.0"\x0a</v>
      </c>
      <c r="E14" s="11" t="str">
        <f>'LW Calc'!X14</f>
        <v>LOGIN \x0DDST 0 ADDR:"239.192.0.0"\x0D</v>
      </c>
      <c r="F14" s="12"/>
    </row>
    <row r="15" spans="1:6" x14ac:dyDescent="0.3">
      <c r="A15" s="6"/>
      <c r="B15" s="6"/>
      <c r="C15" s="6"/>
      <c r="D15" s="11" t="str">
        <f>'LW Calc'!W15</f>
        <v>LOGIN \x0aDST 0 ADDR:"239.192.0.0"\x0a</v>
      </c>
      <c r="E15" s="11" t="str">
        <f>'LW Calc'!X15</f>
        <v>LOGIN \x0DDST 0 ADDR:"239.192.0.0"\x0D</v>
      </c>
      <c r="F15" s="12"/>
    </row>
    <row r="16" spans="1:6" x14ac:dyDescent="0.3">
      <c r="A16" s="6"/>
      <c r="B16" s="6"/>
      <c r="C16" s="6"/>
      <c r="D16" s="11" t="str">
        <f>'LW Calc'!W16</f>
        <v>LOGIN \x0aDST 0 ADDR:"239.192.0.0"\x0a</v>
      </c>
      <c r="E16" s="11" t="str">
        <f>'LW Calc'!X16</f>
        <v>LOGIN \x0DDST 0 ADDR:"239.192.0.0"\x0D</v>
      </c>
      <c r="F16" s="12"/>
    </row>
    <row r="17" spans="1:6" x14ac:dyDescent="0.3">
      <c r="A17" s="6"/>
      <c r="B17" s="6"/>
      <c r="C17" s="6"/>
      <c r="D17" s="11" t="str">
        <f>'LW Calc'!W17</f>
        <v>LOGIN \x0aDST 0 ADDR:"239.192.0.0"\x0a</v>
      </c>
      <c r="E17" s="11" t="str">
        <f>'LW Calc'!X17</f>
        <v>LOGIN \x0DDST 0 ADDR:"239.192.0.0"\x0D</v>
      </c>
      <c r="F17" s="12"/>
    </row>
    <row r="18" spans="1:6" x14ac:dyDescent="0.3">
      <c r="A18" s="6"/>
      <c r="B18" s="6"/>
      <c r="C18" s="6"/>
      <c r="D18" s="11" t="str">
        <f>'LW Calc'!W18</f>
        <v>LOGIN \x0aDST 0 ADDR:"239.192.0.0"\x0a</v>
      </c>
      <c r="E18" s="11" t="str">
        <f>'LW Calc'!X18</f>
        <v>LOGIN \x0DDST 0 ADDR:"239.192.0.0"\x0D</v>
      </c>
      <c r="F18" s="12"/>
    </row>
    <row r="19" spans="1:6" x14ac:dyDescent="0.3">
      <c r="A19" s="6"/>
      <c r="B19" s="6"/>
      <c r="C19" s="6"/>
      <c r="D19" s="11" t="str">
        <f>'LW Calc'!W19</f>
        <v>LOGIN \x0aDST 0 ADDR:"239.192.0.0"\x0a</v>
      </c>
      <c r="E19" s="11" t="str">
        <f>'LW Calc'!X19</f>
        <v>LOGIN \x0DDST 0 ADDR:"239.192.0.0"\x0D</v>
      </c>
      <c r="F19" s="12"/>
    </row>
    <row r="20" spans="1:6" x14ac:dyDescent="0.3">
      <c r="A20" s="6"/>
      <c r="B20" s="6"/>
      <c r="C20" s="6"/>
      <c r="D20" s="11" t="str">
        <f>'LW Calc'!W20</f>
        <v>LOGIN \x0aDST 0 ADDR:"239.192.0.0"\x0a</v>
      </c>
      <c r="E20" s="11" t="str">
        <f>'LW Calc'!X20</f>
        <v>LOGIN \x0DDST 0 ADDR:"239.192.0.0"\x0D</v>
      </c>
      <c r="F20" s="12"/>
    </row>
    <row r="21" spans="1:6" x14ac:dyDescent="0.3">
      <c r="A21" s="6"/>
      <c r="B21" s="6"/>
      <c r="C21" s="6"/>
      <c r="D21" s="11" t="str">
        <f>'LW Calc'!W21</f>
        <v>LOGIN \x0aDST 0 ADDR:"239.192.0.0"\x0a</v>
      </c>
      <c r="E21" s="11" t="str">
        <f>'LW Calc'!X21</f>
        <v>LOGIN \x0DDST 0 ADDR:"239.192.0.0"\x0D</v>
      </c>
      <c r="F21" s="12"/>
    </row>
    <row r="22" spans="1:6" x14ac:dyDescent="0.3">
      <c r="A22" s="6"/>
      <c r="B22" s="6"/>
      <c r="C22" s="6"/>
      <c r="D22" s="11" t="str">
        <f>'LW Calc'!W22</f>
        <v>LOGIN \x0aDST 0 ADDR:"239.192.0.0"\x0a</v>
      </c>
      <c r="E22" s="11" t="str">
        <f>'LW Calc'!X22</f>
        <v>LOGIN \x0DDST 0 ADDR:"239.192.0.0"\x0D</v>
      </c>
      <c r="F22" s="12"/>
    </row>
    <row r="23" spans="1:6" x14ac:dyDescent="0.3">
      <c r="A23" s="6"/>
      <c r="B23" s="6"/>
      <c r="C23" s="6"/>
      <c r="D23" s="11" t="str">
        <f>'LW Calc'!W23</f>
        <v>LOGIN \x0aDST 0 ADDR:"239.192.0.0"\x0a</v>
      </c>
      <c r="E23" s="11" t="str">
        <f>'LW Calc'!X23</f>
        <v>LOGIN \x0DDST 0 ADDR:"239.192.0.0"\x0D</v>
      </c>
      <c r="F23" s="12"/>
    </row>
    <row r="24" spans="1:6" x14ac:dyDescent="0.3">
      <c r="A24" s="6"/>
      <c r="B24" s="6"/>
      <c r="C24" s="6"/>
      <c r="D24" s="11" t="str">
        <f>'LW Calc'!W24</f>
        <v>LOGIN \x0aDST 0 ADDR:"239.192.0.0"\x0a</v>
      </c>
      <c r="E24" s="11" t="str">
        <f>'LW Calc'!X24</f>
        <v>LOGIN \x0DDST 0 ADDR:"239.192.0.0"\x0D</v>
      </c>
      <c r="F24" s="12"/>
    </row>
    <row r="25" spans="1:6" x14ac:dyDescent="0.3">
      <c r="A25" s="6"/>
      <c r="B25" s="6"/>
      <c r="C25" s="6"/>
      <c r="D25" s="11" t="str">
        <f>'LW Calc'!W25</f>
        <v>LOGIN \x0aDST 0 ADDR:"239.192.0.0"\x0a</v>
      </c>
      <c r="E25" s="11" t="str">
        <f>'LW Calc'!X25</f>
        <v>LOGIN \x0DDST 0 ADDR:"239.192.0.0"\x0D</v>
      </c>
      <c r="F25" s="12"/>
    </row>
    <row r="26" spans="1:6" x14ac:dyDescent="0.3">
      <c r="A26" s="6"/>
      <c r="B26" s="6"/>
      <c r="C26" s="6"/>
      <c r="D26" s="11" t="str">
        <f>'LW Calc'!W26</f>
        <v>LOGIN \x0aDST 0 ADDR:"239.192.0.0"\x0a</v>
      </c>
      <c r="E26" s="11" t="str">
        <f>'LW Calc'!X26</f>
        <v>LOGIN \x0DDST 0 ADDR:"239.192.0.0"\x0D</v>
      </c>
      <c r="F26" s="12"/>
    </row>
    <row r="27" spans="1:6" x14ac:dyDescent="0.3">
      <c r="A27" s="6"/>
      <c r="B27" s="6"/>
      <c r="C27" s="6"/>
      <c r="D27" s="11" t="str">
        <f>'LW Calc'!W27</f>
        <v>LOGIN \x0aDST 0 ADDR:"239.192.0.0"\x0a</v>
      </c>
      <c r="E27" s="11" t="str">
        <f>'LW Calc'!X27</f>
        <v>LOGIN \x0DDST 0 ADDR:"239.192.0.0"\x0D</v>
      </c>
      <c r="F27" s="12"/>
    </row>
  </sheetData>
  <sheetProtection algorithmName="SHA-512" hashValue="0oofW72gKM/MOVyceBsGsxkY5X3Hsd3+7jUYhEIvr3LBMyT19PlyCMqAkQ2QG6ZLn8pH7vi5xOabhVzaHyNHsA==" saltValue="wLdrebNPezss/t6WoxohPA==" spinCount="100000" sheet="1" objects="1" scenario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CE68-2BCB-4C93-A111-8D3554CC63A9}">
  <dimension ref="A2:D27"/>
  <sheetViews>
    <sheetView workbookViewId="0">
      <selection activeCell="C6" sqref="C6"/>
    </sheetView>
  </sheetViews>
  <sheetFormatPr defaultRowHeight="14.4" x14ac:dyDescent="0.3"/>
  <cols>
    <col min="1" max="1" width="26.5546875" customWidth="1"/>
    <col min="2" max="2" width="27.109375" customWidth="1"/>
    <col min="3" max="3" width="19.77734375" customWidth="1"/>
    <col min="4" max="4" width="71.5546875" customWidth="1"/>
  </cols>
  <sheetData>
    <row r="2" spans="1:4" x14ac:dyDescent="0.3">
      <c r="A2" s="10" t="s">
        <v>90</v>
      </c>
      <c r="B2" s="10" t="s">
        <v>89</v>
      </c>
      <c r="C2" s="10" t="s">
        <v>87</v>
      </c>
      <c r="D2" s="10" t="s">
        <v>91</v>
      </c>
    </row>
    <row r="3" spans="1:4" x14ac:dyDescent="0.3">
      <c r="A3" s="5">
        <v>1</v>
      </c>
      <c r="B3" s="7"/>
      <c r="C3" s="6"/>
      <c r="D3" s="11" t="str">
        <f>'LW Calc'!O3</f>
        <v>SRC 1 PSNM:"0" RTPE:1 RTPP:240 RTPA:"239.192.0.0" NCHN:2</v>
      </c>
    </row>
    <row r="4" spans="1:4" x14ac:dyDescent="0.3">
      <c r="A4" s="5">
        <v>2</v>
      </c>
      <c r="B4" s="7"/>
      <c r="C4" s="6"/>
      <c r="D4" s="11" t="str">
        <f>'LW Calc'!O4</f>
        <v>SRC 2 PSNM:"0" RTPE:1 RTPP:240 RTPA:"239.192.0.0" NCHN:2</v>
      </c>
    </row>
    <row r="5" spans="1:4" x14ac:dyDescent="0.3">
      <c r="A5" s="5">
        <v>3</v>
      </c>
      <c r="B5" s="7"/>
      <c r="C5" s="6"/>
      <c r="D5" s="11" t="str">
        <f>'LW Calc'!O5</f>
        <v>SRC 3 PSNM:"0" RTPE:1 RTPP:240 RTPA:"239.192.0.0" NCHN:2</v>
      </c>
    </row>
    <row r="6" spans="1:4" x14ac:dyDescent="0.3">
      <c r="A6" s="5">
        <v>4</v>
      </c>
      <c r="B6" s="7"/>
      <c r="C6" s="6"/>
      <c r="D6" s="11" t="str">
        <f>'LW Calc'!O6</f>
        <v>SRC 4 PSNM:"0" RTPE:1 RTPP:240 RTPA:"239.192.0.0" NCHN:2</v>
      </c>
    </row>
    <row r="7" spans="1:4" x14ac:dyDescent="0.3">
      <c r="A7" s="5">
        <v>5</v>
      </c>
      <c r="B7" s="7"/>
      <c r="C7" s="6"/>
      <c r="D7" s="11" t="str">
        <f>'LW Calc'!O7</f>
        <v>SRC 5 PSNM:"0" RTPE:1 RTPP:240 RTPA:"239.192.0.0" NCHN:2</v>
      </c>
    </row>
    <row r="8" spans="1:4" x14ac:dyDescent="0.3">
      <c r="A8" s="5">
        <v>6</v>
      </c>
      <c r="B8" s="7"/>
      <c r="C8" s="6"/>
      <c r="D8" s="11" t="str">
        <f>'LW Calc'!O8</f>
        <v>SRC 6 PSNM:"0" RTPE:1 RTPP:240 RTPA:"239.192.0.0" NCHN:2</v>
      </c>
    </row>
    <row r="9" spans="1:4" x14ac:dyDescent="0.3">
      <c r="A9" s="5">
        <v>7</v>
      </c>
      <c r="B9" s="7"/>
      <c r="C9" s="6"/>
      <c r="D9" s="11" t="str">
        <f>'LW Calc'!O9</f>
        <v>SRC 7 PSNM:"0" RTPE:1 RTPP:240 RTPA:"239.192.0.0" NCHN:2</v>
      </c>
    </row>
    <row r="10" spans="1:4" x14ac:dyDescent="0.3">
      <c r="A10" s="5">
        <v>8</v>
      </c>
      <c r="B10" s="7"/>
      <c r="C10" s="6"/>
      <c r="D10" s="11" t="str">
        <f>'LW Calc'!O10</f>
        <v>SRC 8 PSNM:"0" RTPE:1 RTPP:240 RTPA:"239.192.0.0" NCHN:2</v>
      </c>
    </row>
    <row r="11" spans="1:4" x14ac:dyDescent="0.3">
      <c r="A11" s="5">
        <v>9</v>
      </c>
      <c r="B11" s="7"/>
      <c r="C11" s="6"/>
      <c r="D11" s="11" t="str">
        <f>'LW Calc'!O11</f>
        <v>SRC 9 PSNM:"0" RTPE:1 RTPP:240 RTPA:"239.192.0.0" NCHN:2</v>
      </c>
    </row>
    <row r="12" spans="1:4" x14ac:dyDescent="0.3">
      <c r="A12" s="5">
        <v>10</v>
      </c>
      <c r="B12" s="7"/>
      <c r="C12" s="6"/>
      <c r="D12" s="11" t="str">
        <f>'LW Calc'!O12</f>
        <v>SRC 10 PSNM:"0" RTPE:1 RTPP:240 RTPA:"239.192.0.0" NCHN:2</v>
      </c>
    </row>
    <row r="13" spans="1:4" x14ac:dyDescent="0.3">
      <c r="A13" s="5">
        <v>11</v>
      </c>
      <c r="B13" s="7"/>
      <c r="C13" s="6"/>
      <c r="D13" s="11" t="str">
        <f>'LW Calc'!O13</f>
        <v>SRC 11 PSNM:"0" RTPE:1 RTPP:240 RTPA:"239.192.0.0" NCHN:2</v>
      </c>
    </row>
    <row r="14" spans="1:4" x14ac:dyDescent="0.3">
      <c r="A14" s="5">
        <v>12</v>
      </c>
      <c r="B14" s="7"/>
      <c r="C14" s="6"/>
      <c r="D14" s="11" t="str">
        <f>'LW Calc'!O14</f>
        <v>SRC 12 PSNM:"0" RTPE:1 RTPP:240 RTPA:"239.192.0.0" NCHN:2</v>
      </c>
    </row>
    <row r="15" spans="1:4" x14ac:dyDescent="0.3">
      <c r="A15" s="5">
        <v>13</v>
      </c>
      <c r="B15" s="7"/>
      <c r="C15" s="6"/>
      <c r="D15" s="11" t="str">
        <f>'LW Calc'!O15</f>
        <v>SRC 13 PSNM:"0" RTPE:1 RTPP:240 RTPA:"239.192.0.0" NCHN:2</v>
      </c>
    </row>
    <row r="16" spans="1:4" x14ac:dyDescent="0.3">
      <c r="A16" s="5">
        <v>14</v>
      </c>
      <c r="B16" s="7"/>
      <c r="C16" s="6"/>
      <c r="D16" s="11" t="str">
        <f>'LW Calc'!O16</f>
        <v>SRC 14 PSNM:"0" RTPE:1 RTPP:240 RTPA:"239.192.0.0" NCHN:2</v>
      </c>
    </row>
    <row r="17" spans="1:4" x14ac:dyDescent="0.3">
      <c r="A17" s="5">
        <v>15</v>
      </c>
      <c r="B17" s="7"/>
      <c r="C17" s="6"/>
      <c r="D17" s="11" t="str">
        <f>'LW Calc'!O17</f>
        <v>SRC 15 PSNM:"0" RTPE:1 RTPP:240 RTPA:"239.192.0.0" NCHN:2</v>
      </c>
    </row>
    <row r="18" spans="1:4" x14ac:dyDescent="0.3">
      <c r="A18" s="5">
        <v>16</v>
      </c>
      <c r="B18" s="7"/>
      <c r="C18" s="6"/>
      <c r="D18" s="11" t="str">
        <f>'LW Calc'!O18</f>
        <v>SRC 16 PSNM:"0" RTPE:1 RTPP:240 RTPA:"239.192.0.0" NCHN:2</v>
      </c>
    </row>
    <row r="19" spans="1:4" x14ac:dyDescent="0.3">
      <c r="A19" s="5">
        <v>17</v>
      </c>
      <c r="B19" s="7"/>
      <c r="C19" s="6"/>
      <c r="D19" s="11" t="str">
        <f>'LW Calc'!O19</f>
        <v>SRC 17 PSNM:"0" RTPE:1 RTPP:240 RTPA:"239.192.0.0" NCHN:2</v>
      </c>
    </row>
    <row r="20" spans="1:4" x14ac:dyDescent="0.3">
      <c r="A20" s="5">
        <v>18</v>
      </c>
      <c r="B20" s="7"/>
      <c r="C20" s="6"/>
      <c r="D20" s="11" t="str">
        <f>'LW Calc'!O20</f>
        <v>SRC 18 PSNM:"0" RTPE:1 RTPP:240 RTPA:"239.192.0.0" NCHN:2</v>
      </c>
    </row>
    <row r="21" spans="1:4" x14ac:dyDescent="0.3">
      <c r="A21" s="5">
        <v>19</v>
      </c>
      <c r="B21" s="7"/>
      <c r="C21" s="6"/>
      <c r="D21" s="11" t="str">
        <f>'LW Calc'!O21</f>
        <v>SRC 19 PSNM:"0" RTPE:1 RTPP:240 RTPA:"239.192.0.0" NCHN:2</v>
      </c>
    </row>
    <row r="22" spans="1:4" x14ac:dyDescent="0.3">
      <c r="A22" s="5">
        <v>20</v>
      </c>
      <c r="B22" s="7"/>
      <c r="C22" s="6"/>
      <c r="D22" s="11" t="str">
        <f>'LW Calc'!O22</f>
        <v>SRC 20 PSNM:"0" RTPE:1 RTPP:240 RTPA:"239.192.0.0" NCHN:2</v>
      </c>
    </row>
    <row r="23" spans="1:4" x14ac:dyDescent="0.3">
      <c r="A23" s="5">
        <v>21</v>
      </c>
      <c r="B23" s="7"/>
      <c r="C23" s="6"/>
      <c r="D23" s="11" t="str">
        <f>'LW Calc'!O23</f>
        <v>SRC 21 PSNM:"0" RTPE:1 RTPP:240 RTPA:"239.192.0.0" NCHN:2</v>
      </c>
    </row>
    <row r="24" spans="1:4" x14ac:dyDescent="0.3">
      <c r="A24" s="5">
        <v>22</v>
      </c>
      <c r="B24" s="7"/>
      <c r="C24" s="6"/>
      <c r="D24" s="11" t="str">
        <f>'LW Calc'!O24</f>
        <v>SRC 22 PSNM:"0" RTPE:1 RTPP:240 RTPA:"239.192.0.0" NCHN:2</v>
      </c>
    </row>
    <row r="25" spans="1:4" x14ac:dyDescent="0.3">
      <c r="A25" s="5">
        <v>23</v>
      </c>
      <c r="B25" s="7"/>
      <c r="C25" s="6"/>
      <c r="D25" s="11" t="str">
        <f>'LW Calc'!O25</f>
        <v>SRC 23 PSNM:"0" RTPE:1 RTPP:240 RTPA:"239.192.0.0" NCHN:2</v>
      </c>
    </row>
    <row r="26" spans="1:4" x14ac:dyDescent="0.3">
      <c r="A26" s="5">
        <v>24</v>
      </c>
      <c r="B26" s="7"/>
      <c r="C26" s="6"/>
      <c r="D26" s="11" t="str">
        <f>'LW Calc'!O26</f>
        <v>SRC 24 PSNM:"0" RTPE:1 RTPP:240 RTPA:"239.192.0.0" NCHN:2</v>
      </c>
    </row>
    <row r="27" spans="1:4" x14ac:dyDescent="0.3">
      <c r="A27" s="6"/>
      <c r="B27" s="5"/>
      <c r="C27" s="6"/>
      <c r="D27" s="11"/>
    </row>
  </sheetData>
  <sheetProtection algorithmName="SHA-512" hashValue="t5VgJtJKsan2p9KhWntEnSzB823dDaqRrk7oOjB0R/SV6Q+ZnV5HpwGHuADkuhodw7NbakiTMBv6UZmvmJlLEw==" saltValue="AqA5FZnVMDuyjuWn+TnFJA==" spinCount="100000" sheet="1" objects="1" scenarios="1"/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B14A-502C-47E9-9E32-173006A14B38}">
  <dimension ref="A2:A83"/>
  <sheetViews>
    <sheetView topLeftCell="A9" workbookViewId="0">
      <selection activeCell="A20" sqref="A20:XFD20"/>
    </sheetView>
  </sheetViews>
  <sheetFormatPr defaultRowHeight="13.2" x14ac:dyDescent="0.25"/>
  <cols>
    <col min="1" max="1" width="35" style="8" customWidth="1"/>
    <col min="2" max="16384" width="8.88671875" style="8"/>
  </cols>
  <sheetData>
    <row r="2" spans="1:1" x14ac:dyDescent="0.25">
      <c r="A2" s="8" t="s">
        <v>84</v>
      </c>
    </row>
    <row r="4" spans="1:1" ht="15" x14ac:dyDescent="0.25">
      <c r="A4" s="9" t="s">
        <v>83</v>
      </c>
    </row>
    <row r="5" spans="1:1" ht="15" x14ac:dyDescent="0.25">
      <c r="A5" s="9" t="s">
        <v>82</v>
      </c>
    </row>
    <row r="6" spans="1:1" ht="15" x14ac:dyDescent="0.25">
      <c r="A6" s="9" t="s">
        <v>81</v>
      </c>
    </row>
    <row r="7" spans="1:1" ht="15" x14ac:dyDescent="0.25">
      <c r="A7" s="9" t="s">
        <v>80</v>
      </c>
    </row>
    <row r="8" spans="1:1" ht="15" x14ac:dyDescent="0.25">
      <c r="A8" s="9" t="s">
        <v>79</v>
      </c>
    </row>
    <row r="9" spans="1:1" ht="15" x14ac:dyDescent="0.25">
      <c r="A9" s="9" t="s">
        <v>78</v>
      </c>
    </row>
    <row r="10" spans="1:1" ht="15" x14ac:dyDescent="0.25">
      <c r="A10" s="9" t="s">
        <v>77</v>
      </c>
    </row>
    <row r="11" spans="1:1" ht="15" x14ac:dyDescent="0.25">
      <c r="A11" s="9" t="s">
        <v>76</v>
      </c>
    </row>
    <row r="12" spans="1:1" ht="15" x14ac:dyDescent="0.25">
      <c r="A12" s="9" t="s">
        <v>75</v>
      </c>
    </row>
    <row r="13" spans="1:1" ht="15" x14ac:dyDescent="0.25">
      <c r="A13" s="9" t="s">
        <v>74</v>
      </c>
    </row>
    <row r="14" spans="1:1" ht="15" x14ac:dyDescent="0.25">
      <c r="A14" s="9" t="s">
        <v>73</v>
      </c>
    </row>
    <row r="15" spans="1:1" ht="15" x14ac:dyDescent="0.25">
      <c r="A15" s="9" t="s">
        <v>72</v>
      </c>
    </row>
    <row r="16" spans="1:1" ht="15" x14ac:dyDescent="0.25">
      <c r="A16" s="9" t="s">
        <v>71</v>
      </c>
    </row>
    <row r="17" spans="1:1" ht="15" x14ac:dyDescent="0.25">
      <c r="A17" s="9" t="s">
        <v>70</v>
      </c>
    </row>
    <row r="18" spans="1:1" ht="15" x14ac:dyDescent="0.25">
      <c r="A18" s="9" t="s">
        <v>69</v>
      </c>
    </row>
    <row r="19" spans="1:1" ht="15" x14ac:dyDescent="0.25">
      <c r="A19" s="9" t="s">
        <v>68</v>
      </c>
    </row>
    <row r="20" spans="1:1" ht="15" x14ac:dyDescent="0.25">
      <c r="A20" s="9" t="s">
        <v>67</v>
      </c>
    </row>
    <row r="21" spans="1:1" ht="15" x14ac:dyDescent="0.25">
      <c r="A21" s="9" t="s">
        <v>66</v>
      </c>
    </row>
    <row r="22" spans="1:1" ht="15" x14ac:dyDescent="0.25">
      <c r="A22" s="9" t="s">
        <v>65</v>
      </c>
    </row>
    <row r="23" spans="1:1" ht="15" x14ac:dyDescent="0.25">
      <c r="A23" s="9" t="s">
        <v>64</v>
      </c>
    </row>
    <row r="24" spans="1:1" ht="15" x14ac:dyDescent="0.25">
      <c r="A24" s="9" t="s">
        <v>63</v>
      </c>
    </row>
    <row r="25" spans="1:1" ht="15" x14ac:dyDescent="0.25">
      <c r="A25" s="9" t="s">
        <v>62</v>
      </c>
    </row>
    <row r="26" spans="1:1" ht="15" x14ac:dyDescent="0.25">
      <c r="A26" s="9" t="s">
        <v>61</v>
      </c>
    </row>
    <row r="27" spans="1:1" ht="15" x14ac:dyDescent="0.25">
      <c r="A27" s="9" t="s">
        <v>60</v>
      </c>
    </row>
    <row r="28" spans="1:1" ht="15" x14ac:dyDescent="0.25">
      <c r="A28" s="9" t="s">
        <v>59</v>
      </c>
    </row>
    <row r="29" spans="1:1" ht="15" x14ac:dyDescent="0.25">
      <c r="A29" s="9" t="s">
        <v>58</v>
      </c>
    </row>
    <row r="30" spans="1:1" ht="15" x14ac:dyDescent="0.25">
      <c r="A30" s="9" t="s">
        <v>57</v>
      </c>
    </row>
    <row r="31" spans="1:1" ht="15" x14ac:dyDescent="0.25">
      <c r="A31" s="9" t="s">
        <v>56</v>
      </c>
    </row>
    <row r="32" spans="1:1" ht="15" x14ac:dyDescent="0.25">
      <c r="A32" s="9" t="s">
        <v>55</v>
      </c>
    </row>
    <row r="33" spans="1:1" ht="15" x14ac:dyDescent="0.25">
      <c r="A33" s="9" t="s">
        <v>54</v>
      </c>
    </row>
    <row r="34" spans="1:1" ht="15" x14ac:dyDescent="0.25">
      <c r="A34" s="9" t="s">
        <v>53</v>
      </c>
    </row>
    <row r="35" spans="1:1" ht="15" x14ac:dyDescent="0.25">
      <c r="A35" s="9" t="s">
        <v>52</v>
      </c>
    </row>
    <row r="36" spans="1:1" ht="15" x14ac:dyDescent="0.25">
      <c r="A36" s="9" t="s">
        <v>51</v>
      </c>
    </row>
    <row r="37" spans="1:1" ht="15" x14ac:dyDescent="0.25">
      <c r="A37" s="9" t="s">
        <v>50</v>
      </c>
    </row>
    <row r="38" spans="1:1" ht="15" x14ac:dyDescent="0.25">
      <c r="A38" s="9" t="s">
        <v>49</v>
      </c>
    </row>
    <row r="39" spans="1:1" ht="15" x14ac:dyDescent="0.25">
      <c r="A39" s="9" t="s">
        <v>48</v>
      </c>
    </row>
    <row r="40" spans="1:1" ht="15" x14ac:dyDescent="0.25">
      <c r="A40" s="9" t="s">
        <v>47</v>
      </c>
    </row>
    <row r="41" spans="1:1" ht="15" x14ac:dyDescent="0.25">
      <c r="A41" s="9" t="s">
        <v>46</v>
      </c>
    </row>
    <row r="42" spans="1:1" ht="15" x14ac:dyDescent="0.25">
      <c r="A42" s="9" t="s">
        <v>45</v>
      </c>
    </row>
    <row r="43" spans="1:1" ht="15" x14ac:dyDescent="0.25">
      <c r="A43" s="9" t="s">
        <v>44</v>
      </c>
    </row>
    <row r="44" spans="1:1" ht="15" x14ac:dyDescent="0.25">
      <c r="A44" s="9" t="s">
        <v>43</v>
      </c>
    </row>
    <row r="45" spans="1:1" ht="15" x14ac:dyDescent="0.25">
      <c r="A45" s="9" t="s">
        <v>42</v>
      </c>
    </row>
    <row r="46" spans="1:1" ht="15" x14ac:dyDescent="0.25">
      <c r="A46" s="9" t="s">
        <v>41</v>
      </c>
    </row>
    <row r="47" spans="1:1" ht="15" x14ac:dyDescent="0.25">
      <c r="A47" s="9" t="s">
        <v>40</v>
      </c>
    </row>
    <row r="48" spans="1:1" ht="15" x14ac:dyDescent="0.25">
      <c r="A48" s="9" t="s">
        <v>39</v>
      </c>
    </row>
    <row r="49" spans="1:1" ht="15" x14ac:dyDescent="0.25">
      <c r="A49" s="9" t="s">
        <v>38</v>
      </c>
    </row>
    <row r="50" spans="1:1" ht="15" x14ac:dyDescent="0.25">
      <c r="A50" s="9" t="s">
        <v>37</v>
      </c>
    </row>
    <row r="51" spans="1:1" ht="15" x14ac:dyDescent="0.25">
      <c r="A51" s="9" t="s">
        <v>36</v>
      </c>
    </row>
    <row r="52" spans="1:1" ht="15" x14ac:dyDescent="0.25">
      <c r="A52" s="9" t="s">
        <v>35</v>
      </c>
    </row>
    <row r="53" spans="1:1" ht="15" x14ac:dyDescent="0.25">
      <c r="A53" s="9" t="s">
        <v>34</v>
      </c>
    </row>
    <row r="54" spans="1:1" ht="15" x14ac:dyDescent="0.25">
      <c r="A54" s="9" t="s">
        <v>33</v>
      </c>
    </row>
    <row r="55" spans="1:1" ht="15" x14ac:dyDescent="0.25">
      <c r="A55" s="9" t="s">
        <v>32</v>
      </c>
    </row>
    <row r="56" spans="1:1" ht="15" x14ac:dyDescent="0.25">
      <c r="A56" s="9" t="s">
        <v>31</v>
      </c>
    </row>
    <row r="57" spans="1:1" ht="15" x14ac:dyDescent="0.25">
      <c r="A57" s="9" t="s">
        <v>30</v>
      </c>
    </row>
    <row r="58" spans="1:1" ht="15" x14ac:dyDescent="0.25">
      <c r="A58" s="9" t="s">
        <v>29</v>
      </c>
    </row>
    <row r="59" spans="1:1" ht="15" x14ac:dyDescent="0.25">
      <c r="A59" s="9" t="s">
        <v>28</v>
      </c>
    </row>
    <row r="60" spans="1:1" ht="15" x14ac:dyDescent="0.25">
      <c r="A60" s="9" t="s">
        <v>27</v>
      </c>
    </row>
    <row r="61" spans="1:1" ht="15" x14ac:dyDescent="0.25">
      <c r="A61" s="9" t="s">
        <v>26</v>
      </c>
    </row>
    <row r="62" spans="1:1" ht="15" x14ac:dyDescent="0.25">
      <c r="A62" s="9" t="s">
        <v>25</v>
      </c>
    </row>
    <row r="63" spans="1:1" ht="15" x14ac:dyDescent="0.25">
      <c r="A63" s="9" t="s">
        <v>24</v>
      </c>
    </row>
    <row r="64" spans="1:1" ht="15" x14ac:dyDescent="0.25">
      <c r="A64" s="9" t="s">
        <v>23</v>
      </c>
    </row>
    <row r="65" spans="1:1" ht="15" x14ac:dyDescent="0.25">
      <c r="A65" s="9" t="s">
        <v>22</v>
      </c>
    </row>
    <row r="66" spans="1:1" ht="15" x14ac:dyDescent="0.25">
      <c r="A66" s="9" t="s">
        <v>21</v>
      </c>
    </row>
    <row r="67" spans="1:1" ht="15" x14ac:dyDescent="0.25">
      <c r="A67" s="9" t="s">
        <v>20</v>
      </c>
    </row>
    <row r="68" spans="1:1" ht="15" x14ac:dyDescent="0.25">
      <c r="A68" s="9" t="s">
        <v>19</v>
      </c>
    </row>
    <row r="69" spans="1:1" ht="15" x14ac:dyDescent="0.25">
      <c r="A69" s="9" t="s">
        <v>18</v>
      </c>
    </row>
    <row r="70" spans="1:1" ht="15" x14ac:dyDescent="0.25">
      <c r="A70" s="9" t="s">
        <v>17</v>
      </c>
    </row>
    <row r="71" spans="1:1" ht="15" x14ac:dyDescent="0.25">
      <c r="A71" s="9" t="s">
        <v>16</v>
      </c>
    </row>
    <row r="72" spans="1:1" ht="15" x14ac:dyDescent="0.25">
      <c r="A72" s="9" t="s">
        <v>15</v>
      </c>
    </row>
    <row r="73" spans="1:1" ht="15" x14ac:dyDescent="0.25">
      <c r="A73" s="9" t="s">
        <v>14</v>
      </c>
    </row>
    <row r="74" spans="1:1" ht="15" x14ac:dyDescent="0.25">
      <c r="A74" s="9" t="s">
        <v>13</v>
      </c>
    </row>
    <row r="75" spans="1:1" ht="15" x14ac:dyDescent="0.25">
      <c r="A75" s="9" t="s">
        <v>12</v>
      </c>
    </row>
    <row r="76" spans="1:1" ht="15" x14ac:dyDescent="0.25">
      <c r="A76" s="9" t="s">
        <v>11</v>
      </c>
    </row>
    <row r="77" spans="1:1" ht="15" x14ac:dyDescent="0.25">
      <c r="A77" s="9" t="s">
        <v>10</v>
      </c>
    </row>
    <row r="78" spans="1:1" ht="15" x14ac:dyDescent="0.25">
      <c r="A78" s="9" t="s">
        <v>9</v>
      </c>
    </row>
    <row r="79" spans="1:1" ht="15" x14ac:dyDescent="0.25">
      <c r="A79" s="9" t="s">
        <v>8</v>
      </c>
    </row>
    <row r="80" spans="1:1" ht="15" x14ac:dyDescent="0.25">
      <c r="A80" s="9" t="s">
        <v>7</v>
      </c>
    </row>
    <row r="81" spans="1:1" ht="15" x14ac:dyDescent="0.25">
      <c r="A81" s="9" t="s">
        <v>6</v>
      </c>
    </row>
    <row r="82" spans="1:1" ht="15" x14ac:dyDescent="0.25">
      <c r="A82" s="9" t="s">
        <v>5</v>
      </c>
    </row>
    <row r="83" spans="1:1" ht="15" x14ac:dyDescent="0.25">
      <c r="A83" s="9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0A86-649C-421F-9B2F-086D1F7E0A60}">
  <dimension ref="A1:Y27"/>
  <sheetViews>
    <sheetView showZeros="0" topLeftCell="O1" workbookViewId="0">
      <selection activeCell="W29" sqref="W29"/>
    </sheetView>
  </sheetViews>
  <sheetFormatPr defaultRowHeight="14.4" x14ac:dyDescent="0.3"/>
  <cols>
    <col min="11" max="11" width="11.5546875" customWidth="1"/>
    <col min="12" max="13" width="14.5546875" customWidth="1"/>
    <col min="14" max="14" width="15.88671875" customWidth="1"/>
    <col min="15" max="15" width="25" customWidth="1"/>
    <col min="21" max="21" width="18.5546875" customWidth="1"/>
    <col min="22" max="22" width="17.77734375" customWidth="1"/>
    <col min="23" max="23" width="44.77734375" customWidth="1"/>
    <col min="24" max="24" width="45.33203125" customWidth="1"/>
    <col min="25" max="25" width="20" customWidth="1"/>
    <col min="26" max="26" width="16.44140625" customWidth="1"/>
    <col min="27" max="27" width="37" customWidth="1"/>
  </cols>
  <sheetData>
    <row r="1" spans="1:25" x14ac:dyDescent="0.3">
      <c r="B1" t="s">
        <v>86</v>
      </c>
      <c r="G1" t="s">
        <v>85</v>
      </c>
      <c r="K1" t="s">
        <v>88</v>
      </c>
      <c r="U1" t="s">
        <v>99</v>
      </c>
      <c r="X1" t="s">
        <v>100</v>
      </c>
      <c r="Y1" t="s">
        <v>103</v>
      </c>
    </row>
    <row r="2" spans="1:25" x14ac:dyDescent="0.3">
      <c r="K2" t="s">
        <v>92</v>
      </c>
      <c r="L2" t="s">
        <v>93</v>
      </c>
      <c r="M2" t="s">
        <v>102</v>
      </c>
      <c r="N2" t="s">
        <v>94</v>
      </c>
      <c r="U2" t="s">
        <v>95</v>
      </c>
      <c r="V2" t="s">
        <v>90</v>
      </c>
      <c r="W2" t="s">
        <v>97</v>
      </c>
      <c r="X2" t="s">
        <v>101</v>
      </c>
    </row>
    <row r="3" spans="1:25" x14ac:dyDescent="0.3">
      <c r="A3" t="str">
        <f>SUBSTITUTE('Find LW Channel'!A3,"239.192.","")</f>
        <v/>
      </c>
      <c r="B3" t="e">
        <f>LEFT(A3,SEARCH(".",A3)-1)</f>
        <v>#VALUE!</v>
      </c>
      <c r="C3" t="e">
        <f>_xlfn.TEXTAFTER(A3,".")</f>
        <v>#N/A</v>
      </c>
      <c r="D3" t="e">
        <f>SUM((B3*256)+C3)</f>
        <v>#VALUE!</v>
      </c>
      <c r="G3" t="str">
        <f>239&amp;"."&amp;192&amp;"."&amp;INT('Find MultiCast Channel'!A3/256)&amp;"."&amp;MOD('Find MultiCast Channel'!A3,256)</f>
        <v>239.192.0.0</v>
      </c>
      <c r="K3">
        <f>'Linux Channl Config'!A3</f>
        <v>1</v>
      </c>
      <c r="L3">
        <f>'Linux Channl Config'!B3</f>
        <v>0</v>
      </c>
      <c r="M3">
        <f>'Linux Channl Config'!C3</f>
        <v>0</v>
      </c>
      <c r="N3" t="str">
        <f>239&amp;"."&amp;192&amp;"."&amp;INT(M3/256)&amp;"."&amp;MOD(M3,256)</f>
        <v>239.192.0.0</v>
      </c>
      <c r="O3" t="str">
        <f>_xlfn.CONCAT("SRC "&amp;K3&amp;" PSNM:"""&amp;L3&amp;""" RTPE:1 RTPP:240 RTPA:"""&amp;N3&amp;""" NCHN:2")</f>
        <v>SRC 1 PSNM:"0" RTPE:1 RTPP:240 RTPA:"239.192.0.0" NCHN:2</v>
      </c>
      <c r="U3">
        <f>'WO IP Message'!A3</f>
        <v>0</v>
      </c>
      <c r="V3" t="str">
        <f>239&amp;"."&amp;192&amp;"."&amp;INT('WO IP Message'!B3/256)&amp;"."&amp;MOD('WO IP Message'!B3,256)</f>
        <v>239.192.0.0</v>
      </c>
      <c r="W3" t="str">
        <f>_xlfn.CONCAT("LOGIN "&amp;Y3&amp;"\x0aDST "&amp;U3&amp;" ADDR:"""&amp;V3&amp;"""\x0a")</f>
        <v>LOGIN \x0aDST 0 ADDR:"239.192.0.0"\x0a</v>
      </c>
      <c r="X3" t="str">
        <f>_xlfn.CONCAT("LOGIN "&amp;Y3&amp;"\x0DDST "&amp;U3&amp;" ADDR:"""&amp;V3&amp;"""\x0D")</f>
        <v>LOGIN \x0DDST 0 ADDR:"239.192.0.0"\x0D</v>
      </c>
      <c r="Y3" t="str">
        <f>IF(ISBLANK('WO IP Message'!C3), "", 'WO IP Message'!C3)</f>
        <v/>
      </c>
    </row>
    <row r="4" spans="1:25" x14ac:dyDescent="0.3">
      <c r="A4" t="str">
        <f>SUBSTITUTE('Find LW Channel'!A4,"239.192.","")</f>
        <v/>
      </c>
      <c r="B4" t="e">
        <f t="shared" ref="B4:B27" si="0">LEFT(A4,SEARCH(".",A4)-1)</f>
        <v>#VALUE!</v>
      </c>
      <c r="C4" t="e">
        <f t="shared" ref="C4:C27" si="1">_xlfn.TEXTAFTER(A4,".")</f>
        <v>#N/A</v>
      </c>
      <c r="D4" t="e">
        <f t="shared" ref="D4:D27" si="2">SUM((B4*256)+C4)</f>
        <v>#VALUE!</v>
      </c>
      <c r="G4" t="str">
        <f>239&amp;"."&amp;192&amp;"."&amp;INT('Find MultiCast Channel'!A4/256)&amp;"."&amp;MOD('Find MultiCast Channel'!A4,256)</f>
        <v>239.192.0.0</v>
      </c>
      <c r="K4">
        <f>'Linux Channl Config'!A4</f>
        <v>2</v>
      </c>
      <c r="L4">
        <f>'Linux Channl Config'!B4</f>
        <v>0</v>
      </c>
      <c r="M4">
        <f>'Linux Channl Config'!C4</f>
        <v>0</v>
      </c>
      <c r="N4" t="str">
        <f t="shared" ref="N4:N27" si="3">239&amp;"."&amp;192&amp;"."&amp;INT(M4/256)&amp;"."&amp;MOD(M4,256)</f>
        <v>239.192.0.0</v>
      </c>
      <c r="O4" t="str">
        <f t="shared" ref="O4:O27" si="4">_xlfn.CONCAT("SRC "&amp;K4&amp;" PSNM:"""&amp;L4&amp;""" RTPE:1 RTPP:240 RTPA:"""&amp;N4&amp;""" NCHN:2")</f>
        <v>SRC 2 PSNM:"0" RTPE:1 RTPP:240 RTPA:"239.192.0.0" NCHN:2</v>
      </c>
      <c r="U4">
        <f>'WO IP Message'!A4</f>
        <v>0</v>
      </c>
      <c r="V4" t="str">
        <f>239&amp;"."&amp;192&amp;"."&amp;INT('WO IP Message'!B4/256)&amp;"."&amp;MOD('WO IP Message'!B4,256)</f>
        <v>239.192.0.0</v>
      </c>
      <c r="W4" t="str">
        <f t="shared" ref="W4:W27" si="5">_xlfn.CONCAT("LOGIN "&amp;Y4&amp;"\x0aDST "&amp;U4&amp;" ADDR:"""&amp;V4&amp;"""\x0a")</f>
        <v>LOGIN \x0aDST 0 ADDR:"239.192.0.0"\x0a</v>
      </c>
      <c r="X4" t="str">
        <f t="shared" ref="X4:X27" si="6">_xlfn.CONCAT("LOGIN "&amp;Y4&amp;"\x0DDST "&amp;U4&amp;" ADDR:"""&amp;V4&amp;"""\x0D")</f>
        <v>LOGIN \x0DDST 0 ADDR:"239.192.0.0"\x0D</v>
      </c>
      <c r="Y4" t="str">
        <f>IF(ISBLANK('WO IP Message'!C4), "", 'WO IP Message'!C4)</f>
        <v/>
      </c>
    </row>
    <row r="5" spans="1:25" x14ac:dyDescent="0.3">
      <c r="A5" t="str">
        <f>SUBSTITUTE('Find LW Channel'!A5,"239.192.","")</f>
        <v/>
      </c>
      <c r="B5" t="e">
        <f t="shared" si="0"/>
        <v>#VALUE!</v>
      </c>
      <c r="C5" t="e">
        <f t="shared" si="1"/>
        <v>#N/A</v>
      </c>
      <c r="D5" t="e">
        <f t="shared" si="2"/>
        <v>#VALUE!</v>
      </c>
      <c r="G5" t="str">
        <f>239&amp;"."&amp;192&amp;"."&amp;INT('Find MultiCast Channel'!A5/256)&amp;"."&amp;MOD('Find MultiCast Channel'!A5,256)</f>
        <v>239.192.0.0</v>
      </c>
      <c r="K5">
        <f>'Linux Channl Config'!A5</f>
        <v>3</v>
      </c>
      <c r="L5">
        <f>'Linux Channl Config'!B5</f>
        <v>0</v>
      </c>
      <c r="M5">
        <f>'Linux Channl Config'!C5</f>
        <v>0</v>
      </c>
      <c r="N5" t="str">
        <f t="shared" si="3"/>
        <v>239.192.0.0</v>
      </c>
      <c r="O5" t="str">
        <f t="shared" si="4"/>
        <v>SRC 3 PSNM:"0" RTPE:1 RTPP:240 RTPA:"239.192.0.0" NCHN:2</v>
      </c>
      <c r="U5">
        <f>'WO IP Message'!A5</f>
        <v>0</v>
      </c>
      <c r="V5" t="str">
        <f>239&amp;"."&amp;192&amp;"."&amp;INT('WO IP Message'!B5/256)&amp;"."&amp;MOD('WO IP Message'!B5,256)</f>
        <v>239.192.0.0</v>
      </c>
      <c r="W5" t="str">
        <f t="shared" si="5"/>
        <v>LOGIN \x0aDST 0 ADDR:"239.192.0.0"\x0a</v>
      </c>
      <c r="X5" t="str">
        <f t="shared" si="6"/>
        <v>LOGIN \x0DDST 0 ADDR:"239.192.0.0"\x0D</v>
      </c>
      <c r="Y5" t="str">
        <f>IF(ISBLANK('WO IP Message'!C5), "", 'WO IP Message'!C5)</f>
        <v/>
      </c>
    </row>
    <row r="6" spans="1:25" x14ac:dyDescent="0.3">
      <c r="A6" t="str">
        <f>SUBSTITUTE('Find LW Channel'!A6,"239.192.","")</f>
        <v/>
      </c>
      <c r="B6" t="e">
        <f t="shared" si="0"/>
        <v>#VALUE!</v>
      </c>
      <c r="C6" t="e">
        <f t="shared" si="1"/>
        <v>#N/A</v>
      </c>
      <c r="D6" t="e">
        <f t="shared" si="2"/>
        <v>#VALUE!</v>
      </c>
      <c r="G6" t="str">
        <f>239&amp;"."&amp;192&amp;"."&amp;INT('Find MultiCast Channel'!A6/256)&amp;"."&amp;MOD('Find MultiCast Channel'!A6,256)</f>
        <v>239.192.0.0</v>
      </c>
      <c r="K6">
        <f>'Linux Channl Config'!A6</f>
        <v>4</v>
      </c>
      <c r="L6">
        <f>'Linux Channl Config'!B6</f>
        <v>0</v>
      </c>
      <c r="M6">
        <f>'Linux Channl Config'!C6</f>
        <v>0</v>
      </c>
      <c r="N6" t="str">
        <f t="shared" si="3"/>
        <v>239.192.0.0</v>
      </c>
      <c r="O6" t="str">
        <f t="shared" si="4"/>
        <v>SRC 4 PSNM:"0" RTPE:1 RTPP:240 RTPA:"239.192.0.0" NCHN:2</v>
      </c>
      <c r="U6">
        <f>'WO IP Message'!A6</f>
        <v>0</v>
      </c>
      <c r="V6" t="str">
        <f>239&amp;"."&amp;192&amp;"."&amp;INT('WO IP Message'!B6/256)&amp;"."&amp;MOD('WO IP Message'!B6,256)</f>
        <v>239.192.0.0</v>
      </c>
      <c r="W6" t="str">
        <f t="shared" si="5"/>
        <v>LOGIN \x0aDST 0 ADDR:"239.192.0.0"\x0a</v>
      </c>
      <c r="X6" t="str">
        <f t="shared" si="6"/>
        <v>LOGIN \x0DDST 0 ADDR:"239.192.0.0"\x0D</v>
      </c>
      <c r="Y6" t="str">
        <f>IF(ISBLANK('WO IP Message'!C6), "", 'WO IP Message'!C6)</f>
        <v/>
      </c>
    </row>
    <row r="7" spans="1:25" x14ac:dyDescent="0.3">
      <c r="A7" t="str">
        <f>SUBSTITUTE('Find LW Channel'!A7,"239.192.","")</f>
        <v/>
      </c>
      <c r="B7" t="e">
        <f t="shared" si="0"/>
        <v>#VALUE!</v>
      </c>
      <c r="C7" t="e">
        <f t="shared" si="1"/>
        <v>#N/A</v>
      </c>
      <c r="D7" t="e">
        <f t="shared" si="2"/>
        <v>#VALUE!</v>
      </c>
      <c r="G7" t="str">
        <f>239&amp;"."&amp;192&amp;"."&amp;INT('Find MultiCast Channel'!A7/256)&amp;"."&amp;MOD('Find MultiCast Channel'!A7,256)</f>
        <v>239.192.0.0</v>
      </c>
      <c r="K7">
        <f>'Linux Channl Config'!A7</f>
        <v>5</v>
      </c>
      <c r="L7">
        <f>'Linux Channl Config'!B7</f>
        <v>0</v>
      </c>
      <c r="M7">
        <f>'Linux Channl Config'!C7</f>
        <v>0</v>
      </c>
      <c r="N7" t="str">
        <f t="shared" si="3"/>
        <v>239.192.0.0</v>
      </c>
      <c r="O7" t="str">
        <f t="shared" si="4"/>
        <v>SRC 5 PSNM:"0" RTPE:1 RTPP:240 RTPA:"239.192.0.0" NCHN:2</v>
      </c>
      <c r="U7">
        <f>'WO IP Message'!A7</f>
        <v>0</v>
      </c>
      <c r="V7" t="str">
        <f>239&amp;"."&amp;192&amp;"."&amp;INT('WO IP Message'!B7/256)&amp;"."&amp;MOD('WO IP Message'!B7,256)</f>
        <v>239.192.0.0</v>
      </c>
      <c r="W7" t="str">
        <f t="shared" si="5"/>
        <v>LOGIN \x0aDST 0 ADDR:"239.192.0.0"\x0a</v>
      </c>
      <c r="X7" t="str">
        <f t="shared" si="6"/>
        <v>LOGIN \x0DDST 0 ADDR:"239.192.0.0"\x0D</v>
      </c>
      <c r="Y7" t="str">
        <f>IF(ISBLANK('WO IP Message'!C7), "", 'WO IP Message'!C7)</f>
        <v/>
      </c>
    </row>
    <row r="8" spans="1:25" x14ac:dyDescent="0.3">
      <c r="A8" t="str">
        <f>SUBSTITUTE('Find LW Channel'!A8,"239.192.","")</f>
        <v/>
      </c>
      <c r="B8" t="e">
        <f t="shared" si="0"/>
        <v>#VALUE!</v>
      </c>
      <c r="C8" t="e">
        <f t="shared" si="1"/>
        <v>#N/A</v>
      </c>
      <c r="D8" t="e">
        <f t="shared" si="2"/>
        <v>#VALUE!</v>
      </c>
      <c r="G8" t="str">
        <f>239&amp;"."&amp;192&amp;"."&amp;INT('Find MultiCast Channel'!A8/256)&amp;"."&amp;MOD('Find MultiCast Channel'!A8,256)</f>
        <v>239.192.0.0</v>
      </c>
      <c r="K8">
        <f>'Linux Channl Config'!A8</f>
        <v>6</v>
      </c>
      <c r="L8">
        <f>'Linux Channl Config'!B8</f>
        <v>0</v>
      </c>
      <c r="M8">
        <f>'Linux Channl Config'!C8</f>
        <v>0</v>
      </c>
      <c r="N8" t="str">
        <f t="shared" si="3"/>
        <v>239.192.0.0</v>
      </c>
      <c r="O8" t="str">
        <f t="shared" si="4"/>
        <v>SRC 6 PSNM:"0" RTPE:1 RTPP:240 RTPA:"239.192.0.0" NCHN:2</v>
      </c>
      <c r="U8">
        <f>'WO IP Message'!A8</f>
        <v>0</v>
      </c>
      <c r="V8" t="str">
        <f>239&amp;"."&amp;192&amp;"."&amp;INT('WO IP Message'!B8/256)&amp;"."&amp;MOD('WO IP Message'!B8,256)</f>
        <v>239.192.0.0</v>
      </c>
      <c r="W8" t="str">
        <f t="shared" si="5"/>
        <v>LOGIN \x0aDST 0 ADDR:"239.192.0.0"\x0a</v>
      </c>
      <c r="X8" t="str">
        <f t="shared" si="6"/>
        <v>LOGIN \x0DDST 0 ADDR:"239.192.0.0"\x0D</v>
      </c>
      <c r="Y8" t="str">
        <f>IF(ISBLANK('WO IP Message'!C8), "", 'WO IP Message'!C8)</f>
        <v/>
      </c>
    </row>
    <row r="9" spans="1:25" x14ac:dyDescent="0.3">
      <c r="A9" t="str">
        <f>SUBSTITUTE('Find LW Channel'!A9,"239.192.","")</f>
        <v/>
      </c>
      <c r="B9" t="e">
        <f t="shared" si="0"/>
        <v>#VALUE!</v>
      </c>
      <c r="C9" t="e">
        <f t="shared" si="1"/>
        <v>#N/A</v>
      </c>
      <c r="D9" t="e">
        <f t="shared" si="2"/>
        <v>#VALUE!</v>
      </c>
      <c r="G9" t="str">
        <f>239&amp;"."&amp;192&amp;"."&amp;INT('Find MultiCast Channel'!A9/256)&amp;"."&amp;MOD('Find MultiCast Channel'!A9,256)</f>
        <v>239.192.0.0</v>
      </c>
      <c r="K9">
        <f>'Linux Channl Config'!A9</f>
        <v>7</v>
      </c>
      <c r="L9">
        <f>'Linux Channl Config'!B9</f>
        <v>0</v>
      </c>
      <c r="M9">
        <f>'Linux Channl Config'!C9</f>
        <v>0</v>
      </c>
      <c r="N9" t="str">
        <f t="shared" si="3"/>
        <v>239.192.0.0</v>
      </c>
      <c r="O9" t="str">
        <f t="shared" si="4"/>
        <v>SRC 7 PSNM:"0" RTPE:1 RTPP:240 RTPA:"239.192.0.0" NCHN:2</v>
      </c>
      <c r="U9">
        <f>'WO IP Message'!A9</f>
        <v>0</v>
      </c>
      <c r="V9" t="str">
        <f>239&amp;"."&amp;192&amp;"."&amp;INT('WO IP Message'!B9/256)&amp;"."&amp;MOD('WO IP Message'!B9,256)</f>
        <v>239.192.0.0</v>
      </c>
      <c r="W9" t="str">
        <f t="shared" si="5"/>
        <v>LOGIN \x0aDST 0 ADDR:"239.192.0.0"\x0a</v>
      </c>
      <c r="X9" t="str">
        <f t="shared" si="6"/>
        <v>LOGIN \x0DDST 0 ADDR:"239.192.0.0"\x0D</v>
      </c>
      <c r="Y9" t="str">
        <f>IF(ISBLANK('WO IP Message'!C9), "", 'WO IP Message'!C9)</f>
        <v/>
      </c>
    </row>
    <row r="10" spans="1:25" x14ac:dyDescent="0.3">
      <c r="A10" t="str">
        <f>SUBSTITUTE('Find LW Channel'!A10,"239.192.","")</f>
        <v/>
      </c>
      <c r="B10" t="e">
        <f t="shared" si="0"/>
        <v>#VALUE!</v>
      </c>
      <c r="C10" t="e">
        <f t="shared" si="1"/>
        <v>#N/A</v>
      </c>
      <c r="D10" t="e">
        <f t="shared" si="2"/>
        <v>#VALUE!</v>
      </c>
      <c r="G10" t="str">
        <f>239&amp;"."&amp;192&amp;"."&amp;INT('Find MultiCast Channel'!A10/256)&amp;"."&amp;MOD('Find MultiCast Channel'!A10,256)</f>
        <v>239.192.0.0</v>
      </c>
      <c r="K10">
        <f>'Linux Channl Config'!A10</f>
        <v>8</v>
      </c>
      <c r="L10">
        <f>'Linux Channl Config'!B10</f>
        <v>0</v>
      </c>
      <c r="M10">
        <f>'Linux Channl Config'!C10</f>
        <v>0</v>
      </c>
      <c r="N10" t="str">
        <f t="shared" si="3"/>
        <v>239.192.0.0</v>
      </c>
      <c r="O10" t="str">
        <f t="shared" si="4"/>
        <v>SRC 8 PSNM:"0" RTPE:1 RTPP:240 RTPA:"239.192.0.0" NCHN:2</v>
      </c>
      <c r="U10">
        <f>'WO IP Message'!A10</f>
        <v>0</v>
      </c>
      <c r="V10" t="str">
        <f>239&amp;"."&amp;192&amp;"."&amp;INT('WO IP Message'!B10/256)&amp;"."&amp;MOD('WO IP Message'!B10,256)</f>
        <v>239.192.0.0</v>
      </c>
      <c r="W10" t="str">
        <f t="shared" si="5"/>
        <v>LOGIN \x0aDST 0 ADDR:"239.192.0.0"\x0a</v>
      </c>
      <c r="X10" t="str">
        <f t="shared" si="6"/>
        <v>LOGIN \x0DDST 0 ADDR:"239.192.0.0"\x0D</v>
      </c>
      <c r="Y10" t="str">
        <f>IF(ISBLANK('WO IP Message'!C10), "", 'WO IP Message'!C10)</f>
        <v/>
      </c>
    </row>
    <row r="11" spans="1:25" x14ac:dyDescent="0.3">
      <c r="A11" t="str">
        <f>SUBSTITUTE('Find LW Channel'!A11,"239.192.","")</f>
        <v/>
      </c>
      <c r="B11" t="e">
        <f t="shared" si="0"/>
        <v>#VALUE!</v>
      </c>
      <c r="C11" t="e">
        <f t="shared" si="1"/>
        <v>#N/A</v>
      </c>
      <c r="D11" t="e">
        <f t="shared" si="2"/>
        <v>#VALUE!</v>
      </c>
      <c r="G11" t="str">
        <f>239&amp;"."&amp;192&amp;"."&amp;INT('Find MultiCast Channel'!A11/256)&amp;"."&amp;MOD('Find MultiCast Channel'!A11,256)</f>
        <v>239.192.0.0</v>
      </c>
      <c r="K11">
        <f>'Linux Channl Config'!A11</f>
        <v>9</v>
      </c>
      <c r="L11">
        <f>'Linux Channl Config'!B11</f>
        <v>0</v>
      </c>
      <c r="M11">
        <f>'Linux Channl Config'!C11</f>
        <v>0</v>
      </c>
      <c r="N11" t="str">
        <f t="shared" si="3"/>
        <v>239.192.0.0</v>
      </c>
      <c r="O11" t="str">
        <f t="shared" si="4"/>
        <v>SRC 9 PSNM:"0" RTPE:1 RTPP:240 RTPA:"239.192.0.0" NCHN:2</v>
      </c>
      <c r="U11">
        <f>'WO IP Message'!A11</f>
        <v>0</v>
      </c>
      <c r="V11" t="str">
        <f>239&amp;"."&amp;192&amp;"."&amp;INT('WO IP Message'!B11/256)&amp;"."&amp;MOD('WO IP Message'!B11,256)</f>
        <v>239.192.0.0</v>
      </c>
      <c r="W11" t="str">
        <f t="shared" si="5"/>
        <v>LOGIN \x0aDST 0 ADDR:"239.192.0.0"\x0a</v>
      </c>
      <c r="X11" t="str">
        <f t="shared" si="6"/>
        <v>LOGIN \x0DDST 0 ADDR:"239.192.0.0"\x0D</v>
      </c>
      <c r="Y11" t="str">
        <f>IF(ISBLANK('WO IP Message'!C11), "", 'WO IP Message'!C11)</f>
        <v/>
      </c>
    </row>
    <row r="12" spans="1:25" x14ac:dyDescent="0.3">
      <c r="A12" t="str">
        <f>SUBSTITUTE('Find LW Channel'!A12,"239.192.","")</f>
        <v/>
      </c>
      <c r="B12" t="e">
        <f t="shared" si="0"/>
        <v>#VALUE!</v>
      </c>
      <c r="C12" t="e">
        <f t="shared" si="1"/>
        <v>#N/A</v>
      </c>
      <c r="D12" t="e">
        <f t="shared" si="2"/>
        <v>#VALUE!</v>
      </c>
      <c r="G12" t="str">
        <f>239&amp;"."&amp;192&amp;"."&amp;INT('Find MultiCast Channel'!A12/256)&amp;"."&amp;MOD('Find MultiCast Channel'!A12,256)</f>
        <v>239.192.0.0</v>
      </c>
      <c r="K12">
        <f>'Linux Channl Config'!A12</f>
        <v>10</v>
      </c>
      <c r="L12">
        <f>'Linux Channl Config'!B12</f>
        <v>0</v>
      </c>
      <c r="M12">
        <f>'Linux Channl Config'!C12</f>
        <v>0</v>
      </c>
      <c r="N12" t="str">
        <f t="shared" si="3"/>
        <v>239.192.0.0</v>
      </c>
      <c r="O12" t="str">
        <f t="shared" si="4"/>
        <v>SRC 10 PSNM:"0" RTPE:1 RTPP:240 RTPA:"239.192.0.0" NCHN:2</v>
      </c>
      <c r="U12">
        <f>'WO IP Message'!A12</f>
        <v>0</v>
      </c>
      <c r="V12" t="str">
        <f>239&amp;"."&amp;192&amp;"."&amp;INT('WO IP Message'!B12/256)&amp;"."&amp;MOD('WO IP Message'!B12,256)</f>
        <v>239.192.0.0</v>
      </c>
      <c r="W12" t="str">
        <f t="shared" si="5"/>
        <v>LOGIN \x0aDST 0 ADDR:"239.192.0.0"\x0a</v>
      </c>
      <c r="X12" t="str">
        <f t="shared" si="6"/>
        <v>LOGIN \x0DDST 0 ADDR:"239.192.0.0"\x0D</v>
      </c>
      <c r="Y12" t="str">
        <f>IF(ISBLANK('WO IP Message'!C12), "", 'WO IP Message'!C12)</f>
        <v/>
      </c>
    </row>
    <row r="13" spans="1:25" x14ac:dyDescent="0.3">
      <c r="A13" t="str">
        <f>SUBSTITUTE('Find LW Channel'!A13,"239.192.","")</f>
        <v/>
      </c>
      <c r="B13" t="e">
        <f t="shared" si="0"/>
        <v>#VALUE!</v>
      </c>
      <c r="C13" t="e">
        <f t="shared" si="1"/>
        <v>#N/A</v>
      </c>
      <c r="D13" t="e">
        <f t="shared" si="2"/>
        <v>#VALUE!</v>
      </c>
      <c r="G13" t="str">
        <f>239&amp;"."&amp;192&amp;"."&amp;INT('Find MultiCast Channel'!A13/256)&amp;"."&amp;MOD('Find MultiCast Channel'!A13,256)</f>
        <v>239.192.0.0</v>
      </c>
      <c r="K13">
        <f>'Linux Channl Config'!A13</f>
        <v>11</v>
      </c>
      <c r="L13">
        <f>'Linux Channl Config'!B13</f>
        <v>0</v>
      </c>
      <c r="M13">
        <f>'Linux Channl Config'!C13</f>
        <v>0</v>
      </c>
      <c r="N13" t="str">
        <f t="shared" si="3"/>
        <v>239.192.0.0</v>
      </c>
      <c r="O13" t="str">
        <f t="shared" si="4"/>
        <v>SRC 11 PSNM:"0" RTPE:1 RTPP:240 RTPA:"239.192.0.0" NCHN:2</v>
      </c>
      <c r="U13">
        <f>'WO IP Message'!A13</f>
        <v>0</v>
      </c>
      <c r="V13" t="str">
        <f>239&amp;"."&amp;192&amp;"."&amp;INT('WO IP Message'!B13/256)&amp;"."&amp;MOD('WO IP Message'!B13,256)</f>
        <v>239.192.0.0</v>
      </c>
      <c r="W13" t="str">
        <f t="shared" si="5"/>
        <v>LOGIN \x0aDST 0 ADDR:"239.192.0.0"\x0a</v>
      </c>
      <c r="X13" t="str">
        <f t="shared" si="6"/>
        <v>LOGIN \x0DDST 0 ADDR:"239.192.0.0"\x0D</v>
      </c>
      <c r="Y13" t="str">
        <f>IF(ISBLANK('WO IP Message'!C13), "", 'WO IP Message'!C13)</f>
        <v/>
      </c>
    </row>
    <row r="14" spans="1:25" x14ac:dyDescent="0.3">
      <c r="A14" t="str">
        <f>SUBSTITUTE('Find LW Channel'!A14,"239.192.","")</f>
        <v/>
      </c>
      <c r="B14" t="e">
        <f t="shared" si="0"/>
        <v>#VALUE!</v>
      </c>
      <c r="C14" t="e">
        <f t="shared" si="1"/>
        <v>#N/A</v>
      </c>
      <c r="D14" t="e">
        <f t="shared" si="2"/>
        <v>#VALUE!</v>
      </c>
      <c r="G14" t="str">
        <f>239&amp;"."&amp;192&amp;"."&amp;INT('Find MultiCast Channel'!A14/256)&amp;"."&amp;MOD('Find MultiCast Channel'!A14,256)</f>
        <v>239.192.0.0</v>
      </c>
      <c r="K14">
        <f>'Linux Channl Config'!A14</f>
        <v>12</v>
      </c>
      <c r="L14">
        <f>'Linux Channl Config'!B14</f>
        <v>0</v>
      </c>
      <c r="M14">
        <f>'Linux Channl Config'!C14</f>
        <v>0</v>
      </c>
      <c r="N14" t="str">
        <f t="shared" si="3"/>
        <v>239.192.0.0</v>
      </c>
      <c r="O14" t="str">
        <f t="shared" si="4"/>
        <v>SRC 12 PSNM:"0" RTPE:1 RTPP:240 RTPA:"239.192.0.0" NCHN:2</v>
      </c>
      <c r="U14">
        <f>'WO IP Message'!A14</f>
        <v>0</v>
      </c>
      <c r="V14" t="str">
        <f>239&amp;"."&amp;192&amp;"."&amp;INT('WO IP Message'!B14/256)&amp;"."&amp;MOD('WO IP Message'!B14,256)</f>
        <v>239.192.0.0</v>
      </c>
      <c r="W14" t="str">
        <f t="shared" si="5"/>
        <v>LOGIN \x0aDST 0 ADDR:"239.192.0.0"\x0a</v>
      </c>
      <c r="X14" t="str">
        <f t="shared" si="6"/>
        <v>LOGIN \x0DDST 0 ADDR:"239.192.0.0"\x0D</v>
      </c>
      <c r="Y14" t="str">
        <f>IF(ISBLANK('WO IP Message'!C14), "", 'WO IP Message'!C14)</f>
        <v/>
      </c>
    </row>
    <row r="15" spans="1:25" x14ac:dyDescent="0.3">
      <c r="A15" t="str">
        <f>SUBSTITUTE('Find LW Channel'!A15,"239.192.","")</f>
        <v/>
      </c>
      <c r="B15" t="e">
        <f t="shared" si="0"/>
        <v>#VALUE!</v>
      </c>
      <c r="C15" t="e">
        <f t="shared" si="1"/>
        <v>#N/A</v>
      </c>
      <c r="D15" t="e">
        <f t="shared" si="2"/>
        <v>#VALUE!</v>
      </c>
      <c r="G15" t="str">
        <f>239&amp;"."&amp;192&amp;"."&amp;INT('Find MultiCast Channel'!A15/256)&amp;"."&amp;MOD('Find MultiCast Channel'!A15,256)</f>
        <v>239.192.0.0</v>
      </c>
      <c r="K15">
        <f>'Linux Channl Config'!A15</f>
        <v>13</v>
      </c>
      <c r="L15">
        <f>'Linux Channl Config'!B15</f>
        <v>0</v>
      </c>
      <c r="M15">
        <f>'Linux Channl Config'!C15</f>
        <v>0</v>
      </c>
      <c r="N15" t="str">
        <f t="shared" si="3"/>
        <v>239.192.0.0</v>
      </c>
      <c r="O15" t="str">
        <f t="shared" si="4"/>
        <v>SRC 13 PSNM:"0" RTPE:1 RTPP:240 RTPA:"239.192.0.0" NCHN:2</v>
      </c>
      <c r="U15">
        <f>'WO IP Message'!A15</f>
        <v>0</v>
      </c>
      <c r="V15" t="str">
        <f>239&amp;"."&amp;192&amp;"."&amp;INT('WO IP Message'!B15/256)&amp;"."&amp;MOD('WO IP Message'!B15,256)</f>
        <v>239.192.0.0</v>
      </c>
      <c r="W15" t="str">
        <f t="shared" si="5"/>
        <v>LOGIN \x0aDST 0 ADDR:"239.192.0.0"\x0a</v>
      </c>
      <c r="X15" t="str">
        <f t="shared" si="6"/>
        <v>LOGIN \x0DDST 0 ADDR:"239.192.0.0"\x0D</v>
      </c>
      <c r="Y15" t="str">
        <f>IF(ISBLANK('WO IP Message'!C15), "", 'WO IP Message'!C15)</f>
        <v/>
      </c>
    </row>
    <row r="16" spans="1:25" x14ac:dyDescent="0.3">
      <c r="A16" t="str">
        <f>SUBSTITUTE('Find LW Channel'!A16,"239.192.","")</f>
        <v/>
      </c>
      <c r="B16" t="e">
        <f t="shared" si="0"/>
        <v>#VALUE!</v>
      </c>
      <c r="C16" t="e">
        <f t="shared" si="1"/>
        <v>#N/A</v>
      </c>
      <c r="D16" t="e">
        <f t="shared" si="2"/>
        <v>#VALUE!</v>
      </c>
      <c r="G16" t="str">
        <f>239&amp;"."&amp;192&amp;"."&amp;INT('Find MultiCast Channel'!A16/256)&amp;"."&amp;MOD('Find MultiCast Channel'!A16,256)</f>
        <v>239.192.0.0</v>
      </c>
      <c r="K16">
        <f>'Linux Channl Config'!A16</f>
        <v>14</v>
      </c>
      <c r="L16">
        <f>'Linux Channl Config'!B16</f>
        <v>0</v>
      </c>
      <c r="M16">
        <f>'Linux Channl Config'!C16</f>
        <v>0</v>
      </c>
      <c r="N16" t="str">
        <f t="shared" si="3"/>
        <v>239.192.0.0</v>
      </c>
      <c r="O16" t="str">
        <f t="shared" si="4"/>
        <v>SRC 14 PSNM:"0" RTPE:1 RTPP:240 RTPA:"239.192.0.0" NCHN:2</v>
      </c>
      <c r="U16">
        <f>'WO IP Message'!A16</f>
        <v>0</v>
      </c>
      <c r="V16" t="str">
        <f>239&amp;"."&amp;192&amp;"."&amp;INT('WO IP Message'!B16/256)&amp;"."&amp;MOD('WO IP Message'!B16,256)</f>
        <v>239.192.0.0</v>
      </c>
      <c r="W16" t="str">
        <f t="shared" si="5"/>
        <v>LOGIN \x0aDST 0 ADDR:"239.192.0.0"\x0a</v>
      </c>
      <c r="X16" t="str">
        <f t="shared" si="6"/>
        <v>LOGIN \x0DDST 0 ADDR:"239.192.0.0"\x0D</v>
      </c>
      <c r="Y16" t="str">
        <f>IF(ISBLANK('WO IP Message'!C16), "", 'WO IP Message'!C16)</f>
        <v/>
      </c>
    </row>
    <row r="17" spans="1:25" x14ac:dyDescent="0.3">
      <c r="A17" t="str">
        <f>SUBSTITUTE('Find LW Channel'!A17,"239.192.","")</f>
        <v/>
      </c>
      <c r="B17" t="e">
        <f t="shared" si="0"/>
        <v>#VALUE!</v>
      </c>
      <c r="C17" t="e">
        <f t="shared" si="1"/>
        <v>#N/A</v>
      </c>
      <c r="D17" t="e">
        <f t="shared" si="2"/>
        <v>#VALUE!</v>
      </c>
      <c r="G17" t="str">
        <f>239&amp;"."&amp;192&amp;"."&amp;INT('Find MultiCast Channel'!A17/256)&amp;"."&amp;MOD('Find MultiCast Channel'!A17,256)</f>
        <v>239.192.0.0</v>
      </c>
      <c r="K17">
        <f>'Linux Channl Config'!A17</f>
        <v>15</v>
      </c>
      <c r="L17">
        <f>'Linux Channl Config'!B17</f>
        <v>0</v>
      </c>
      <c r="M17">
        <f>'Linux Channl Config'!C17</f>
        <v>0</v>
      </c>
      <c r="N17" t="str">
        <f t="shared" si="3"/>
        <v>239.192.0.0</v>
      </c>
      <c r="O17" t="str">
        <f t="shared" si="4"/>
        <v>SRC 15 PSNM:"0" RTPE:1 RTPP:240 RTPA:"239.192.0.0" NCHN:2</v>
      </c>
      <c r="U17">
        <f>'WO IP Message'!A17</f>
        <v>0</v>
      </c>
      <c r="V17" t="str">
        <f>239&amp;"."&amp;192&amp;"."&amp;INT('WO IP Message'!B17/256)&amp;"."&amp;MOD('WO IP Message'!B17,256)</f>
        <v>239.192.0.0</v>
      </c>
      <c r="W17" t="str">
        <f t="shared" si="5"/>
        <v>LOGIN \x0aDST 0 ADDR:"239.192.0.0"\x0a</v>
      </c>
      <c r="X17" t="str">
        <f t="shared" si="6"/>
        <v>LOGIN \x0DDST 0 ADDR:"239.192.0.0"\x0D</v>
      </c>
      <c r="Y17" t="str">
        <f>IF(ISBLANK('WO IP Message'!C17), "", 'WO IP Message'!C17)</f>
        <v/>
      </c>
    </row>
    <row r="18" spans="1:25" x14ac:dyDescent="0.3">
      <c r="A18" t="str">
        <f>SUBSTITUTE('Find LW Channel'!A18,"239.192.","")</f>
        <v/>
      </c>
      <c r="B18" t="e">
        <f t="shared" si="0"/>
        <v>#VALUE!</v>
      </c>
      <c r="C18" t="e">
        <f t="shared" si="1"/>
        <v>#N/A</v>
      </c>
      <c r="D18" t="e">
        <f t="shared" si="2"/>
        <v>#VALUE!</v>
      </c>
      <c r="G18" t="str">
        <f>239&amp;"."&amp;192&amp;"."&amp;INT('Find MultiCast Channel'!A18/256)&amp;"."&amp;MOD('Find MultiCast Channel'!A18,256)</f>
        <v>239.192.0.0</v>
      </c>
      <c r="K18">
        <f>'Linux Channl Config'!A18</f>
        <v>16</v>
      </c>
      <c r="L18">
        <f>'Linux Channl Config'!B18</f>
        <v>0</v>
      </c>
      <c r="M18">
        <f>'Linux Channl Config'!C18</f>
        <v>0</v>
      </c>
      <c r="N18" t="str">
        <f t="shared" si="3"/>
        <v>239.192.0.0</v>
      </c>
      <c r="O18" t="str">
        <f t="shared" si="4"/>
        <v>SRC 16 PSNM:"0" RTPE:1 RTPP:240 RTPA:"239.192.0.0" NCHN:2</v>
      </c>
      <c r="U18">
        <f>'WO IP Message'!A18</f>
        <v>0</v>
      </c>
      <c r="V18" t="str">
        <f>239&amp;"."&amp;192&amp;"."&amp;INT('WO IP Message'!B18/256)&amp;"."&amp;MOD('WO IP Message'!B18,256)</f>
        <v>239.192.0.0</v>
      </c>
      <c r="W18" t="str">
        <f t="shared" si="5"/>
        <v>LOGIN \x0aDST 0 ADDR:"239.192.0.0"\x0a</v>
      </c>
      <c r="X18" t="str">
        <f t="shared" si="6"/>
        <v>LOGIN \x0DDST 0 ADDR:"239.192.0.0"\x0D</v>
      </c>
      <c r="Y18" t="str">
        <f>IF(ISBLANK('WO IP Message'!C18), "", 'WO IP Message'!C18)</f>
        <v/>
      </c>
    </row>
    <row r="19" spans="1:25" x14ac:dyDescent="0.3">
      <c r="A19" t="str">
        <f>SUBSTITUTE('Find LW Channel'!A19,"239.192.","")</f>
        <v/>
      </c>
      <c r="B19" t="e">
        <f t="shared" si="0"/>
        <v>#VALUE!</v>
      </c>
      <c r="C19" t="e">
        <f t="shared" si="1"/>
        <v>#N/A</v>
      </c>
      <c r="D19" t="e">
        <f t="shared" si="2"/>
        <v>#VALUE!</v>
      </c>
      <c r="G19" t="str">
        <f>239&amp;"."&amp;192&amp;"."&amp;INT('Find MultiCast Channel'!A19/256)&amp;"."&amp;MOD('Find MultiCast Channel'!A19,256)</f>
        <v>239.192.0.0</v>
      </c>
      <c r="K19">
        <f>'Linux Channl Config'!A19</f>
        <v>17</v>
      </c>
      <c r="L19">
        <f>'Linux Channl Config'!B19</f>
        <v>0</v>
      </c>
      <c r="M19">
        <f>'Linux Channl Config'!C19</f>
        <v>0</v>
      </c>
      <c r="N19" t="str">
        <f t="shared" si="3"/>
        <v>239.192.0.0</v>
      </c>
      <c r="O19" t="str">
        <f t="shared" si="4"/>
        <v>SRC 17 PSNM:"0" RTPE:1 RTPP:240 RTPA:"239.192.0.0" NCHN:2</v>
      </c>
      <c r="U19">
        <f>'WO IP Message'!A19</f>
        <v>0</v>
      </c>
      <c r="V19" t="str">
        <f>239&amp;"."&amp;192&amp;"."&amp;INT('WO IP Message'!B19/256)&amp;"."&amp;MOD('WO IP Message'!B19,256)</f>
        <v>239.192.0.0</v>
      </c>
      <c r="W19" t="str">
        <f t="shared" si="5"/>
        <v>LOGIN \x0aDST 0 ADDR:"239.192.0.0"\x0a</v>
      </c>
      <c r="X19" t="str">
        <f t="shared" si="6"/>
        <v>LOGIN \x0DDST 0 ADDR:"239.192.0.0"\x0D</v>
      </c>
      <c r="Y19" t="str">
        <f>IF(ISBLANK('WO IP Message'!C19), "", 'WO IP Message'!C19)</f>
        <v/>
      </c>
    </row>
    <row r="20" spans="1:25" x14ac:dyDescent="0.3">
      <c r="A20" t="str">
        <f>SUBSTITUTE('Find LW Channel'!A20,"239.192.","")</f>
        <v/>
      </c>
      <c r="B20" t="e">
        <f t="shared" si="0"/>
        <v>#VALUE!</v>
      </c>
      <c r="C20" t="e">
        <f t="shared" si="1"/>
        <v>#N/A</v>
      </c>
      <c r="D20" t="e">
        <f t="shared" si="2"/>
        <v>#VALUE!</v>
      </c>
      <c r="G20" t="str">
        <f>239&amp;"."&amp;192&amp;"."&amp;INT('Find MultiCast Channel'!A20/256)&amp;"."&amp;MOD('Find MultiCast Channel'!A20,256)</f>
        <v>239.192.0.0</v>
      </c>
      <c r="K20">
        <f>'Linux Channl Config'!A20</f>
        <v>18</v>
      </c>
      <c r="L20">
        <f>'Linux Channl Config'!B20</f>
        <v>0</v>
      </c>
      <c r="M20">
        <f>'Linux Channl Config'!C20</f>
        <v>0</v>
      </c>
      <c r="N20" t="str">
        <f t="shared" si="3"/>
        <v>239.192.0.0</v>
      </c>
      <c r="O20" t="str">
        <f t="shared" si="4"/>
        <v>SRC 18 PSNM:"0" RTPE:1 RTPP:240 RTPA:"239.192.0.0" NCHN:2</v>
      </c>
      <c r="U20">
        <f>'WO IP Message'!A20</f>
        <v>0</v>
      </c>
      <c r="V20" t="str">
        <f>239&amp;"."&amp;192&amp;"."&amp;INT('WO IP Message'!B20/256)&amp;"."&amp;MOD('WO IP Message'!B20,256)</f>
        <v>239.192.0.0</v>
      </c>
      <c r="W20" t="str">
        <f t="shared" si="5"/>
        <v>LOGIN \x0aDST 0 ADDR:"239.192.0.0"\x0a</v>
      </c>
      <c r="X20" t="str">
        <f t="shared" si="6"/>
        <v>LOGIN \x0DDST 0 ADDR:"239.192.0.0"\x0D</v>
      </c>
      <c r="Y20" t="str">
        <f>IF(ISBLANK('WO IP Message'!C20), "", 'WO IP Message'!C20)</f>
        <v/>
      </c>
    </row>
    <row r="21" spans="1:25" x14ac:dyDescent="0.3">
      <c r="A21" t="str">
        <f>SUBSTITUTE('Find LW Channel'!A21,"239.192.","")</f>
        <v/>
      </c>
      <c r="B21" t="e">
        <f t="shared" si="0"/>
        <v>#VALUE!</v>
      </c>
      <c r="C21" t="e">
        <f t="shared" si="1"/>
        <v>#N/A</v>
      </c>
      <c r="D21" t="e">
        <f t="shared" si="2"/>
        <v>#VALUE!</v>
      </c>
      <c r="G21" t="str">
        <f>239&amp;"."&amp;192&amp;"."&amp;INT('Find MultiCast Channel'!A21/256)&amp;"."&amp;MOD('Find MultiCast Channel'!A21,256)</f>
        <v>239.192.0.0</v>
      </c>
      <c r="K21">
        <f>'Linux Channl Config'!A21</f>
        <v>19</v>
      </c>
      <c r="L21">
        <f>'Linux Channl Config'!B21</f>
        <v>0</v>
      </c>
      <c r="M21">
        <f>'Linux Channl Config'!C21</f>
        <v>0</v>
      </c>
      <c r="N21" t="str">
        <f t="shared" si="3"/>
        <v>239.192.0.0</v>
      </c>
      <c r="O21" t="str">
        <f t="shared" si="4"/>
        <v>SRC 19 PSNM:"0" RTPE:1 RTPP:240 RTPA:"239.192.0.0" NCHN:2</v>
      </c>
      <c r="U21">
        <f>'WO IP Message'!A21</f>
        <v>0</v>
      </c>
      <c r="V21" t="str">
        <f>239&amp;"."&amp;192&amp;"."&amp;INT('WO IP Message'!B21/256)&amp;"."&amp;MOD('WO IP Message'!B21,256)</f>
        <v>239.192.0.0</v>
      </c>
      <c r="W21" t="str">
        <f t="shared" si="5"/>
        <v>LOGIN \x0aDST 0 ADDR:"239.192.0.0"\x0a</v>
      </c>
      <c r="X21" t="str">
        <f t="shared" si="6"/>
        <v>LOGIN \x0DDST 0 ADDR:"239.192.0.0"\x0D</v>
      </c>
      <c r="Y21" t="str">
        <f>IF(ISBLANK('WO IP Message'!C21), "", 'WO IP Message'!C21)</f>
        <v/>
      </c>
    </row>
    <row r="22" spans="1:25" x14ac:dyDescent="0.3">
      <c r="A22" t="str">
        <f>SUBSTITUTE('Find LW Channel'!A22,"239.192.","")</f>
        <v/>
      </c>
      <c r="B22" t="e">
        <f t="shared" si="0"/>
        <v>#VALUE!</v>
      </c>
      <c r="C22" t="e">
        <f t="shared" si="1"/>
        <v>#N/A</v>
      </c>
      <c r="D22" t="e">
        <f t="shared" si="2"/>
        <v>#VALUE!</v>
      </c>
      <c r="G22" t="str">
        <f>239&amp;"."&amp;192&amp;"."&amp;INT('Find MultiCast Channel'!A22/256)&amp;"."&amp;MOD('Find MultiCast Channel'!A22,256)</f>
        <v>239.192.0.0</v>
      </c>
      <c r="K22">
        <f>'Linux Channl Config'!A22</f>
        <v>20</v>
      </c>
      <c r="L22">
        <f>'Linux Channl Config'!B22</f>
        <v>0</v>
      </c>
      <c r="M22">
        <f>'Linux Channl Config'!C22</f>
        <v>0</v>
      </c>
      <c r="N22" t="str">
        <f t="shared" si="3"/>
        <v>239.192.0.0</v>
      </c>
      <c r="O22" t="str">
        <f t="shared" si="4"/>
        <v>SRC 20 PSNM:"0" RTPE:1 RTPP:240 RTPA:"239.192.0.0" NCHN:2</v>
      </c>
      <c r="U22">
        <f>'WO IP Message'!A22</f>
        <v>0</v>
      </c>
      <c r="V22" t="str">
        <f>239&amp;"."&amp;192&amp;"."&amp;INT('WO IP Message'!B22/256)&amp;"."&amp;MOD('WO IP Message'!B22,256)</f>
        <v>239.192.0.0</v>
      </c>
      <c r="W22" t="str">
        <f t="shared" si="5"/>
        <v>LOGIN \x0aDST 0 ADDR:"239.192.0.0"\x0a</v>
      </c>
      <c r="X22" t="str">
        <f t="shared" si="6"/>
        <v>LOGIN \x0DDST 0 ADDR:"239.192.0.0"\x0D</v>
      </c>
      <c r="Y22" t="str">
        <f>IF(ISBLANK('WO IP Message'!C22), "", 'WO IP Message'!C22)</f>
        <v/>
      </c>
    </row>
    <row r="23" spans="1:25" x14ac:dyDescent="0.3">
      <c r="A23" t="str">
        <f>SUBSTITUTE('Find LW Channel'!A23,"239.192.","")</f>
        <v/>
      </c>
      <c r="B23" t="e">
        <f t="shared" si="0"/>
        <v>#VALUE!</v>
      </c>
      <c r="C23" t="e">
        <f t="shared" si="1"/>
        <v>#N/A</v>
      </c>
      <c r="D23" t="e">
        <f t="shared" si="2"/>
        <v>#VALUE!</v>
      </c>
      <c r="G23" t="str">
        <f>239&amp;"."&amp;192&amp;"."&amp;INT('Find MultiCast Channel'!A23/256)&amp;"."&amp;MOD('Find MultiCast Channel'!A23,256)</f>
        <v>239.192.0.0</v>
      </c>
      <c r="K23">
        <f>'Linux Channl Config'!A23</f>
        <v>21</v>
      </c>
      <c r="L23">
        <f>'Linux Channl Config'!B23</f>
        <v>0</v>
      </c>
      <c r="M23">
        <f>'Linux Channl Config'!C23</f>
        <v>0</v>
      </c>
      <c r="N23" t="str">
        <f t="shared" si="3"/>
        <v>239.192.0.0</v>
      </c>
      <c r="O23" t="str">
        <f t="shared" si="4"/>
        <v>SRC 21 PSNM:"0" RTPE:1 RTPP:240 RTPA:"239.192.0.0" NCHN:2</v>
      </c>
      <c r="U23">
        <f>'WO IP Message'!A23</f>
        <v>0</v>
      </c>
      <c r="V23" t="str">
        <f>239&amp;"."&amp;192&amp;"."&amp;INT('WO IP Message'!B23/256)&amp;"."&amp;MOD('WO IP Message'!B23,256)</f>
        <v>239.192.0.0</v>
      </c>
      <c r="W23" t="str">
        <f t="shared" si="5"/>
        <v>LOGIN \x0aDST 0 ADDR:"239.192.0.0"\x0a</v>
      </c>
      <c r="X23" t="str">
        <f t="shared" si="6"/>
        <v>LOGIN \x0DDST 0 ADDR:"239.192.0.0"\x0D</v>
      </c>
      <c r="Y23" t="str">
        <f>IF(ISBLANK('WO IP Message'!C23), "", 'WO IP Message'!C23)</f>
        <v/>
      </c>
    </row>
    <row r="24" spans="1:25" x14ac:dyDescent="0.3">
      <c r="A24" t="str">
        <f>SUBSTITUTE('Find LW Channel'!A24,"239.192.","")</f>
        <v/>
      </c>
      <c r="B24" t="e">
        <f t="shared" si="0"/>
        <v>#VALUE!</v>
      </c>
      <c r="C24" t="e">
        <f t="shared" si="1"/>
        <v>#N/A</v>
      </c>
      <c r="D24" t="e">
        <f t="shared" si="2"/>
        <v>#VALUE!</v>
      </c>
      <c r="G24" t="str">
        <f>239&amp;"."&amp;192&amp;"."&amp;INT('Find MultiCast Channel'!A24/256)&amp;"."&amp;MOD('Find MultiCast Channel'!A24,256)</f>
        <v>239.192.0.0</v>
      </c>
      <c r="K24">
        <f>'Linux Channl Config'!A24</f>
        <v>22</v>
      </c>
      <c r="L24">
        <f>'Linux Channl Config'!B24</f>
        <v>0</v>
      </c>
      <c r="M24">
        <f>'Linux Channl Config'!C24</f>
        <v>0</v>
      </c>
      <c r="N24" t="str">
        <f t="shared" si="3"/>
        <v>239.192.0.0</v>
      </c>
      <c r="O24" t="str">
        <f t="shared" si="4"/>
        <v>SRC 22 PSNM:"0" RTPE:1 RTPP:240 RTPA:"239.192.0.0" NCHN:2</v>
      </c>
      <c r="U24">
        <f>'WO IP Message'!A24</f>
        <v>0</v>
      </c>
      <c r="V24" t="str">
        <f>239&amp;"."&amp;192&amp;"."&amp;INT('WO IP Message'!B24/256)&amp;"."&amp;MOD('WO IP Message'!B24,256)</f>
        <v>239.192.0.0</v>
      </c>
      <c r="W24" t="str">
        <f t="shared" si="5"/>
        <v>LOGIN \x0aDST 0 ADDR:"239.192.0.0"\x0a</v>
      </c>
      <c r="X24" t="str">
        <f t="shared" si="6"/>
        <v>LOGIN \x0DDST 0 ADDR:"239.192.0.0"\x0D</v>
      </c>
      <c r="Y24" t="str">
        <f>IF(ISBLANK('WO IP Message'!C24), "", 'WO IP Message'!C24)</f>
        <v/>
      </c>
    </row>
    <row r="25" spans="1:25" x14ac:dyDescent="0.3">
      <c r="A25" t="str">
        <f>SUBSTITUTE('Find LW Channel'!A25,"239.192.","")</f>
        <v/>
      </c>
      <c r="B25" t="e">
        <f t="shared" si="0"/>
        <v>#VALUE!</v>
      </c>
      <c r="C25" t="e">
        <f t="shared" si="1"/>
        <v>#N/A</v>
      </c>
      <c r="D25" t="e">
        <f t="shared" si="2"/>
        <v>#VALUE!</v>
      </c>
      <c r="G25" t="str">
        <f>239&amp;"."&amp;192&amp;"."&amp;INT('Find MultiCast Channel'!A25/256)&amp;"."&amp;MOD('Find MultiCast Channel'!A25,256)</f>
        <v>239.192.0.0</v>
      </c>
      <c r="K25">
        <f>'Linux Channl Config'!A25</f>
        <v>23</v>
      </c>
      <c r="L25">
        <f>'Linux Channl Config'!B25</f>
        <v>0</v>
      </c>
      <c r="M25">
        <f>'Linux Channl Config'!C25</f>
        <v>0</v>
      </c>
      <c r="N25" t="str">
        <f t="shared" si="3"/>
        <v>239.192.0.0</v>
      </c>
      <c r="O25" t="str">
        <f t="shared" si="4"/>
        <v>SRC 23 PSNM:"0" RTPE:1 RTPP:240 RTPA:"239.192.0.0" NCHN:2</v>
      </c>
      <c r="U25">
        <f>'WO IP Message'!A25</f>
        <v>0</v>
      </c>
      <c r="V25" t="str">
        <f>239&amp;"."&amp;192&amp;"."&amp;INT('WO IP Message'!B25/256)&amp;"."&amp;MOD('WO IP Message'!B25,256)</f>
        <v>239.192.0.0</v>
      </c>
      <c r="W25" t="str">
        <f t="shared" si="5"/>
        <v>LOGIN \x0aDST 0 ADDR:"239.192.0.0"\x0a</v>
      </c>
      <c r="X25" t="str">
        <f t="shared" si="6"/>
        <v>LOGIN \x0DDST 0 ADDR:"239.192.0.0"\x0D</v>
      </c>
      <c r="Y25" t="str">
        <f>IF(ISBLANK('WO IP Message'!C25), "", 'WO IP Message'!C25)</f>
        <v/>
      </c>
    </row>
    <row r="26" spans="1:25" x14ac:dyDescent="0.3">
      <c r="A26" t="str">
        <f>SUBSTITUTE('Find LW Channel'!A26,"239.192.","")</f>
        <v/>
      </c>
      <c r="B26" t="e">
        <f t="shared" si="0"/>
        <v>#VALUE!</v>
      </c>
      <c r="C26" t="e">
        <f t="shared" si="1"/>
        <v>#N/A</v>
      </c>
      <c r="D26" t="e">
        <f t="shared" si="2"/>
        <v>#VALUE!</v>
      </c>
      <c r="G26" t="str">
        <f>239&amp;"."&amp;192&amp;"."&amp;INT('Find MultiCast Channel'!A26/256)&amp;"."&amp;MOD('Find MultiCast Channel'!A26,256)</f>
        <v>239.192.0.0</v>
      </c>
      <c r="K26">
        <f>'Linux Channl Config'!A26</f>
        <v>24</v>
      </c>
      <c r="L26">
        <f>'Linux Channl Config'!B26</f>
        <v>0</v>
      </c>
      <c r="M26">
        <f>'Linux Channl Config'!C26</f>
        <v>0</v>
      </c>
      <c r="N26" t="str">
        <f t="shared" si="3"/>
        <v>239.192.0.0</v>
      </c>
      <c r="O26" t="str">
        <f t="shared" si="4"/>
        <v>SRC 24 PSNM:"0" RTPE:1 RTPP:240 RTPA:"239.192.0.0" NCHN:2</v>
      </c>
      <c r="U26">
        <f>'WO IP Message'!A26</f>
        <v>0</v>
      </c>
      <c r="V26" t="str">
        <f>239&amp;"."&amp;192&amp;"."&amp;INT('WO IP Message'!B26/256)&amp;"."&amp;MOD('WO IP Message'!B26,256)</f>
        <v>239.192.0.0</v>
      </c>
      <c r="W26" t="str">
        <f t="shared" si="5"/>
        <v>LOGIN \x0aDST 0 ADDR:"239.192.0.0"\x0a</v>
      </c>
      <c r="X26" t="str">
        <f t="shared" si="6"/>
        <v>LOGIN \x0DDST 0 ADDR:"239.192.0.0"\x0D</v>
      </c>
      <c r="Y26" t="str">
        <f>IF(ISBLANK('WO IP Message'!C26), "", 'WO IP Message'!C26)</f>
        <v/>
      </c>
    </row>
    <row r="27" spans="1:25" x14ac:dyDescent="0.3">
      <c r="A27" t="str">
        <f>SUBSTITUTE('Find LW Channel'!A27,"239.192.","")</f>
        <v/>
      </c>
      <c r="B27" t="e">
        <f t="shared" si="0"/>
        <v>#VALUE!</v>
      </c>
      <c r="C27" t="e">
        <f t="shared" si="1"/>
        <v>#N/A</v>
      </c>
      <c r="D27" t="e">
        <f t="shared" si="2"/>
        <v>#VALUE!</v>
      </c>
      <c r="G27" t="str">
        <f>239&amp;"."&amp;192&amp;"."&amp;INT('Find MultiCast Channel'!A27/256)&amp;"."&amp;MOD('Find MultiCast Channel'!A27,256)</f>
        <v>239.192.0.0</v>
      </c>
      <c r="K27">
        <f>'Linux Channl Config'!A27</f>
        <v>0</v>
      </c>
      <c r="L27">
        <f>'Linux Channl Config'!B27</f>
        <v>0</v>
      </c>
      <c r="M27">
        <f>'Linux Channl Config'!C27</f>
        <v>0</v>
      </c>
      <c r="N27" t="str">
        <f t="shared" si="3"/>
        <v>239.192.0.0</v>
      </c>
      <c r="O27" t="str">
        <f t="shared" si="4"/>
        <v>SRC 0 PSNM:"0" RTPE:1 RTPP:240 RTPA:"239.192.0.0" NCHN:2</v>
      </c>
      <c r="U27">
        <f>'WO IP Message'!A27</f>
        <v>0</v>
      </c>
      <c r="V27" t="str">
        <f>239&amp;"."&amp;192&amp;"."&amp;INT('WO IP Message'!B27/256)&amp;"."&amp;MOD('WO IP Message'!B27,256)</f>
        <v>239.192.0.0</v>
      </c>
      <c r="W27" t="str">
        <f t="shared" si="5"/>
        <v>LOGIN \x0aDST 0 ADDR:"239.192.0.0"\x0a</v>
      </c>
      <c r="X27" t="str">
        <f t="shared" si="6"/>
        <v>LOGIN \x0DDST 0 ADDR:"239.192.0.0"\x0D</v>
      </c>
      <c r="Y27" t="str">
        <f>IF(ISBLANK('WO IP Message'!C27), "", 'WO IP Message'!C27)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2D8C98-E325-48D0-9137-76BB3B04E3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Find MultiCast Channel</vt:lpstr>
      <vt:lpstr>Find LW Channel</vt:lpstr>
      <vt:lpstr>WO IP Message</vt:lpstr>
      <vt:lpstr>Linux Channl Config</vt:lpstr>
      <vt:lpstr>Engine VMIX Source List</vt:lpstr>
      <vt:lpstr>LW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Salive</dc:creator>
  <cp:lastModifiedBy>Andrew Salive</cp:lastModifiedBy>
  <dcterms:created xsi:type="dcterms:W3CDTF">2024-08-06T23:05:13Z</dcterms:created>
  <dcterms:modified xsi:type="dcterms:W3CDTF">2025-02-21T19:55:26Z</dcterms:modified>
</cp:coreProperties>
</file>